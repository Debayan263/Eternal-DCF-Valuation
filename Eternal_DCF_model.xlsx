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utput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Sourc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0.0%;\(0.0%\);\-"/>
    <numFmt numFmtId="165" formatCode="\₹#,##0.00"/>
    <numFmt numFmtId="166" formatCode="#,##0;\(#,##0\);\-"/>
    <numFmt numFmtId="167" formatCode="0.0\x"/>
    <numFmt numFmtId="168" formatCode="0.0%"/>
    <numFmt numFmtId="169" formatCode="#,##0.0;\(#,##0.0\);\-"/>
    <numFmt numFmtId="170" formatCode="0.000"/>
  </numFmts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1F3864"/>
      <sz val="24"/>
    </font>
    <font>
      <name val="Arial"/>
      <charset val="1"/>
      <family val="2"/>
      <b val="1"/>
      <color rgb="FF2E75B6"/>
      <sz val="16"/>
    </font>
    <font>
      <name val="Arial"/>
      <charset val="1"/>
      <family val="2"/>
      <i val="1"/>
      <color rgb="FF595959"/>
      <sz val="11"/>
    </font>
    <font>
      <name val="Arial"/>
      <charset val="1"/>
      <family val="2"/>
      <color rgb="FF404040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1F3864"/>
      <sz val="11"/>
    </font>
    <font>
      <name val="Calibri"/>
      <charset val="1"/>
      <family val="2"/>
      <b val="1"/>
      <color theme="1"/>
      <sz val="11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color rgb="FF404040"/>
      <sz val="9"/>
    </font>
    <font>
      <name val="Calibri"/>
      <charset val="1"/>
      <family val="2"/>
      <b val="1"/>
      <sz val="11"/>
    </font>
    <font>
      <name val="Arial"/>
      <charset val="1"/>
      <family val="2"/>
      <b val="1"/>
      <color rgb="FF1F3864"/>
      <sz val="16"/>
    </font>
    <font>
      <name val="Arial"/>
      <charset val="1"/>
      <family val="2"/>
      <b val="1"/>
      <color rgb="FFFFD966"/>
      <sz val="8"/>
    </font>
    <font>
      <name val="Arial"/>
      <charset val="1"/>
      <family val="2"/>
      <b val="1"/>
      <color rgb="FFFFD966"/>
      <sz val="15"/>
    </font>
    <font>
      <name val="Arial"/>
      <charset val="1"/>
      <family val="2"/>
      <b val="1"/>
      <color rgb="FFB8CCE4"/>
      <sz val="7.5"/>
    </font>
    <font>
      <name val="Arial"/>
      <charset val="1"/>
      <family val="2"/>
      <b val="1"/>
      <color rgb="FFFFFFFF"/>
      <sz val="11"/>
    </font>
    <font>
      <name val="Calibri"/>
      <family val="2"/>
      <b val="1"/>
      <color rgb="FF1F3864"/>
      <sz val="13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404040"/>
      <sz val="8"/>
    </font>
    <font>
      <name val="Arial"/>
      <charset val="1"/>
      <family val="2"/>
      <b val="1"/>
      <color rgb="FFFF0000"/>
      <sz val="11"/>
    </font>
    <font>
      <name val="Cambria"/>
      <charset val="1"/>
      <family val="1"/>
      <b val="1"/>
      <sz val="14"/>
    </font>
    <font>
      <name val="Cambria"/>
      <charset val="1"/>
      <family val="1"/>
      <b val="1"/>
      <sz val="11"/>
    </font>
    <font>
      <name val="Calibri"/>
      <charset val="1"/>
      <family val="2"/>
      <color rgb="000000FF"/>
      <sz val="11"/>
    </font>
    <font>
      <name val="Arial"/>
      <charset val="1"/>
      <family val="2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FF1F3864"/>
        <bgColor rgb="FF14264A"/>
      </patternFill>
    </fill>
    <fill>
      <patternFill patternType="solid">
        <fgColor rgb="FF14264A"/>
        <bgColor rgb="FF1F3864"/>
      </patternFill>
    </fill>
    <fill>
      <patternFill patternType="solid">
        <fgColor rgb="FFD9E2F3"/>
        <bgColor rgb="FFD9EAF7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EDEDED"/>
      </patternFill>
    </fill>
    <fill>
      <patternFill patternType="solid">
        <fgColor rgb="FFFCE4E4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D9EAF7"/>
        <b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center" vertical="center" wrapText="1"/>
    </xf>
    <xf numFmtId="164" fontId="18" fillId="3" borderId="0" applyAlignment="1" pivotButton="0" quotePrefix="0" xfId="0">
      <alignment horizontal="center" vertical="center"/>
    </xf>
    <xf numFmtId="165" fontId="18" fillId="3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bottom"/>
    </xf>
    <xf numFmtId="0" fontId="8" fillId="4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5" fontId="8" fillId="5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center" vertical="bottom"/>
    </xf>
    <xf numFmtId="164" fontId="8" fillId="4" borderId="0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167" fontId="8" fillId="4" borderId="0" applyAlignment="1" pivotButton="0" quotePrefix="0" xfId="0">
      <alignment horizontal="center" vertical="bottom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165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top" wrapText="1"/>
    </xf>
    <xf numFmtId="169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164" fontId="8" fillId="5" borderId="0" applyAlignment="1" pivotButton="0" quotePrefix="0" xfId="0">
      <alignment horizontal="general" vertical="bottom"/>
    </xf>
    <xf numFmtId="0" fontId="20" fillId="4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0" fontId="20" fillId="6" borderId="0" applyAlignment="1" pivotButton="0" quotePrefix="0" xfId="0">
      <alignment horizontal="general" vertical="bottom"/>
    </xf>
    <xf numFmtId="0" fontId="20" fillId="7" borderId="0" applyAlignment="1" pivotButton="0" quotePrefix="0" xfId="0">
      <alignment horizontal="general" vertical="bottom"/>
    </xf>
    <xf numFmtId="0" fontId="25" fillId="4" borderId="0" applyAlignment="1" pivotButton="0" quotePrefix="0" xfId="0">
      <alignment horizontal="general" vertical="bottom"/>
    </xf>
    <xf numFmtId="0" fontId="8" fillId="8" borderId="1" applyAlignment="1" pivotButton="0" quotePrefix="0" xfId="0">
      <alignment horizontal="center" vertical="bottom"/>
    </xf>
    <xf numFmtId="170" fontId="10" fillId="0" borderId="0" applyAlignment="1" pivotButton="0" quotePrefix="0" xfId="0">
      <alignment horizontal="general" vertical="bottom"/>
    </xf>
    <xf numFmtId="166" fontId="8" fillId="5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25" fillId="6" borderId="0" applyAlignment="1" pivotButton="0" quotePrefix="0" xfId="0">
      <alignment horizontal="general" vertical="bottom"/>
    </xf>
    <xf numFmtId="0" fontId="25" fillId="7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top" wrapText="1"/>
    </xf>
    <xf numFmtId="0" fontId="27" fillId="9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3" borderId="0" applyAlignment="1" pivotButton="0" quotePrefix="0" xfId="0">
      <alignment horizontal="center" vertical="center" wrapText="1"/>
    </xf>
    <xf numFmtId="164" fontId="18" fillId="3" borderId="0" applyAlignment="1" pivotButton="0" quotePrefix="0" xfId="0">
      <alignment horizontal="center" vertical="center"/>
    </xf>
    <xf numFmtId="165" fontId="18" fillId="3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left" vertical="bottom"/>
    </xf>
    <xf numFmtId="0" fontId="8" fillId="4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5" fontId="8" fillId="5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center" vertical="bottom"/>
    </xf>
    <xf numFmtId="164" fontId="8" fillId="4" borderId="0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167" fontId="8" fillId="4" borderId="0" applyAlignment="1" pivotButton="0" quotePrefix="0" xfId="0">
      <alignment horizontal="center" vertical="bottom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165" fontId="9" fillId="0" borderId="0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164" fontId="8" fillId="5" borderId="0" applyAlignment="1" pivotButton="0" quotePrefix="0" xfId="0">
      <alignment horizontal="general" vertical="bottom"/>
    </xf>
    <xf numFmtId="0" fontId="20" fillId="4" borderId="0" applyAlignment="1" pivotButton="0" quotePrefix="0" xfId="0">
      <alignment horizontal="general" vertical="bottom"/>
    </xf>
    <xf numFmtId="0" fontId="28" fillId="0" borderId="0" pivotButton="0" quotePrefix="0" xfId="0"/>
    <xf numFmtId="167" fontId="9" fillId="0" borderId="0" applyAlignment="1" pivotButton="0" quotePrefix="0" xfId="0">
      <alignment horizontal="general" vertical="bottom"/>
    </xf>
    <xf numFmtId="0" fontId="20" fillId="6" borderId="0" applyAlignment="1" pivotButton="0" quotePrefix="0" xfId="0">
      <alignment horizontal="general" vertical="bottom"/>
    </xf>
    <xf numFmtId="0" fontId="20" fillId="7" borderId="0" applyAlignment="1" pivotButton="0" quotePrefix="0" xfId="0">
      <alignment horizontal="general" vertical="bottom"/>
    </xf>
    <xf numFmtId="0" fontId="25" fillId="4" borderId="0" applyAlignment="1" pivotButton="0" quotePrefix="0" xfId="0">
      <alignment horizontal="general" vertical="bottom"/>
    </xf>
    <xf numFmtId="0" fontId="8" fillId="8" borderId="1" applyAlignment="1" pivotButton="0" quotePrefix="0" xfId="0">
      <alignment horizontal="center" vertical="bottom"/>
    </xf>
    <xf numFmtId="166" fontId="29" fillId="0" borderId="0" applyAlignment="1" pivotButton="0" quotePrefix="0" xfId="0">
      <alignment horizontal="general" vertical="bottom"/>
    </xf>
    <xf numFmtId="170" fontId="10" fillId="0" borderId="0" applyAlignment="1" pivotButton="0" quotePrefix="0" xfId="0">
      <alignment horizontal="general" vertical="bottom"/>
    </xf>
    <xf numFmtId="166" fontId="8" fillId="5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25" fillId="6" borderId="0" applyAlignment="1" pivotButton="0" quotePrefix="0" xfId="0">
      <alignment horizontal="general" vertical="bottom"/>
    </xf>
    <xf numFmtId="0" fontId="25" fillId="7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top" wrapText="1"/>
    </xf>
    <xf numFmtId="0" fontId="27" fillId="9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D9EAF7"/>
      <rgbColor rgb="FF660066"/>
      <rgbColor rgb="FFFF8080"/>
      <rgbColor rgb="FF2E75B6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E4"/>
      <rgbColor rgb="FFD9D9D9"/>
      <rgbColor rgb="FFEDEDED"/>
      <rgbColor rgb="FFD9E2F3"/>
      <rgbColor rgb="FFFFD966"/>
      <rgbColor rgb="FF4472C4"/>
      <rgbColor rgb="FF33CCCC"/>
      <rgbColor rgb="FF70AD47"/>
      <rgbColor rgb="FFFFC000"/>
      <rgbColor rgb="FFFF9900"/>
      <rgbColor rgb="FFFF6600"/>
      <rgbColor rgb="FF595959"/>
      <rgbColor rgb="FFB3B3B3"/>
      <rgbColor rgb="FF1F3864"/>
      <rgbColor rgb="FF4EA72E"/>
      <rgbColor rgb="FF14264A"/>
      <rgbColor rgb="FF333300"/>
      <rgbColor rgb="FF993300"/>
      <rgbColor rgb="FF993366"/>
      <rgbColor rgb="FF2E5395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IN" sz="13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IN" sz="1300" b="1" strike="noStrike" spc="-1">
                <a:solidFill>
                  <a:srgbClr val="1f3864"/>
                </a:solidFill>
                <a:latin typeface="Calibri"/>
              </a:rPr>
              <a:t>Base Case: Revenue Build &amp; EBITDA Margin Expansion (FY26A-FY33E)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"Revenue (₹ Cr)"</f>
              <strCache>
                <ptCount val="1"/>
                <pt idx="0">
                  <v>Revenue (₹ Cr)</v>
                </pt>
              </strCache>
            </strRef>
          </tx>
          <spPr>
            <a:solidFill xmlns:a="http://schemas.openxmlformats.org/drawingml/2006/main">
              <a:srgbClr val="2e5395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numFmt formatCode="#,##0;\(#,##0\);\-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multiLvlStrRef>
              <multiLvlStrCache>
                <lvl/>
                <lvl/>
                <lvl/>
                <lvl/>
                <lvl/>
                <lvl/>
                <lvl/>
                <lvl/>
              </multiLvlStrCache>
              <f>Output!$K$7:$R$7</f>
            </multiLvlStrRef>
          </cat>
          <val>
            <numRef>
              <f>Output!$K$5:$R$5</f>
              <numCache>
                <formatCode>#,##0;\(#,##0\);\-</formatCode>
                <ptCount val="8"/>
                <pt idx="0">
                  <v>54364</v>
                </pt>
                <pt idx="1">
                  <v>90000</v>
                </pt>
                <pt idx="2">
                  <v>117000</v>
                </pt>
                <pt idx="3">
                  <v>142740</v>
                </pt>
                <pt idx="4">
                  <v>169860.6</v>
                </pt>
                <pt idx="5">
                  <v>197038.296</v>
                </pt>
                <pt idx="6">
                  <v>224623.65744</v>
                </pt>
                <pt idx="7">
                  <v>251578.4963328</v>
                </pt>
              </numCache>
            </numRef>
          </val>
        </ser>
        <gapWidth val="45"/>
        <overlap val="0"/>
        <axId val="96588936"/>
        <axId val="88901156"/>
      </barChart>
      <lineChart>
        <grouping val="standard"/>
        <varyColors val="0"/>
        <ser>
          <idx val="1"/>
          <order val="1"/>
          <tx>
            <strRef>
              <f>"EBITDA margin %"</f>
              <strCache>
                <ptCount val="1"/>
                <pt idx="0">
                  <v>EBITDA margin %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28080">
              <a:solidFill>
                <a:srgbClr val="ffc000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0"/>
          </dLbls>
          <cat>
            <multiLvlStrRef>
              <multiLvlStrCache>
                <lvl/>
                <lvl/>
                <lvl/>
                <lvl/>
                <lvl/>
                <lvl/>
                <lvl/>
                <lvl/>
              </multiLvlStrCache>
              <f>Output!$K$7:$R$7</f>
            </multiLvlStrRef>
          </cat>
          <val>
            <numRef>
              <f>Output!$K$6:$R$6</f>
              <numCache>
                <formatCode>0.0%;\(0.0%\);\-</formatCode>
                <ptCount val="8"/>
                <pt idx="0">
                  <v>0.0222205871532632</v>
                </pt>
                <pt idx="1">
                  <v>0.045</v>
                </pt>
                <pt idx="2">
                  <v>0.07000000000000001</v>
                </pt>
                <pt idx="3">
                  <v>0.0899999999999999</v>
                </pt>
                <pt idx="4">
                  <v>0.105</v>
                </pt>
                <pt idx="5">
                  <v>0.115</v>
                </pt>
                <pt idx="6">
                  <v>0.125</v>
                </pt>
                <pt idx="7">
                  <v>0.13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39036857"/>
        <axId val="81429891"/>
      </lineChart>
      <catAx>
        <axId val="96588936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8901156"/>
        <auto val="1"/>
        <lblAlgn val="ctr"/>
        <lblOffset val="100"/>
        <noMultiLvlLbl val="0"/>
      </catAx>
      <valAx>
        <axId val="88901156"/>
        <scaling>
          <orientation val="minMax"/>
        </scaling>
        <delete val="1"/>
        <axPos val="l"/>
        <majorGridlines>
          <spPr>
            <a:ln xmlns:a="http://schemas.openxmlformats.org/drawingml/2006/main" w="6480">
              <a:solidFill>
                <a:srgbClr val="ededed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 Cr)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;\(#,##0\);\-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6588936"/>
        <crossBetween val="between"/>
      </valAx>
      <catAx>
        <axId val="39036857"/>
        <scaling>
          <orientation val="minMax"/>
        </scaling>
        <delete val="1"/>
        <axPos val="t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1429891"/>
        <auto val="1"/>
        <lblAlgn val="ctr"/>
        <lblOffset val="100"/>
        <noMultiLvlLbl val="0"/>
      </catAx>
      <valAx>
        <axId val="81429891"/>
        <scaling>
          <orientation val="minMax"/>
        </scaling>
        <delete val="1"/>
        <axPos val="r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EBITDA margin %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%;\(0.0%\);\-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9036857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IN" sz="13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IN" sz="1300" b="1" strike="noStrike" spc="-1">
                <a:solidFill>
                  <a:srgbClr val="1f3864"/>
                </a:solidFill>
                <a:latin typeface="Calibri"/>
              </a:rPr>
              <a:t>Unlevered FCFF by Scenario (FY27E-FY33E)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"Bear"</f>
              <strCache>
                <ptCount val="1"/>
                <pt idx="0">
                  <v>Bear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numFmt formatCode="#,##0;\(#,##0\);\-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multiLvlStrRef>
              <multiLvlStrCache>
                <lvl>
                  <pt idx="0">
                    <v>FY33E</v>
                  </pt>
                </lvl>
                <lvl>
                  <pt idx="0">
                    <v>FY32E</v>
                  </pt>
                </lvl>
                <lvl>
                  <pt idx="0">
                    <v>FY31E</v>
                  </pt>
                </lvl>
                <lvl>
                  <pt idx="0">
                    <v>FY30E</v>
                  </pt>
                </lvl>
                <lvl>
                  <pt idx="0">
                    <v>FY29E</v>
                  </pt>
                </lvl>
                <lvl>
                  <pt idx="0">
                    <v>FY28E</v>
                  </pt>
                </lvl>
                <lvl>
                  <pt idx="0">
                    <v>FY27E</v>
                  </pt>
                </lvl>
              </multiLvlStrCache>
              <f>Output!$K$8:$Q$8</f>
            </multiLvlStrRef>
          </cat>
          <val>
            <numRef>
              <f>Output!$K$9:$Q$9</f>
              <numCache>
                <formatCode>#,##0;\(#,##0\);\-</formatCode>
                <ptCount val="7"/>
                <pt idx="0">
                  <v>-1382.39</v>
                </pt>
                <pt idx="1">
                  <v>-30.6861999999962</v>
                </pt>
                <pt idx="2">
                  <v>1796.43425499999</v>
                </pt>
                <pt idx="3">
                  <v>3997.87321285</v>
                </pt>
                <pt idx="4">
                  <v>6037.2463847337</v>
                </pt>
                <pt idx="5">
                  <v>8352.84379707677</v>
                </pt>
                <pt idx="6">
                  <v>10867.4738535916</v>
                </pt>
              </numCache>
            </numRef>
          </val>
        </ser>
        <ser>
          <idx val="1"/>
          <order val="1"/>
          <tx>
            <strRef>
              <f>"Base"</f>
              <strCache>
                <ptCount val="1"/>
                <pt idx="0">
                  <v>Base</v>
                </pt>
              </strCache>
            </strRef>
          </tx>
          <spPr>
            <a:solidFill xmlns:a="http://schemas.openxmlformats.org/drawingml/2006/main">
              <a:srgbClr val="2e5395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numFmt formatCode="#,##0;\(#,##0\);\-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multiLvlStrRef>
              <multiLvlStrCache>
                <lvl>
                  <pt idx="0">
                    <v>FY33E</v>
                  </pt>
                </lvl>
                <lvl>
                  <pt idx="0">
                    <v>FY32E</v>
                  </pt>
                </lvl>
                <lvl>
                  <pt idx="0">
                    <v>FY31E</v>
                  </pt>
                </lvl>
                <lvl>
                  <pt idx="0">
                    <v>FY30E</v>
                  </pt>
                </lvl>
                <lvl>
                  <pt idx="0">
                    <v>FY29E</v>
                  </pt>
                </lvl>
                <lvl>
                  <pt idx="0">
                    <v>FY28E</v>
                  </pt>
                </lvl>
                <lvl>
                  <pt idx="0">
                    <v>FY27E</v>
                  </pt>
                </lvl>
              </multiLvlStrCache>
              <f>Output!$K$8:$Q$8</f>
            </multiLvlStrRef>
          </cat>
          <val>
            <numRef>
              <f>Output!$K$10:$Q$10</f>
              <numCache>
                <formatCode>#,##0;\(#,##0\);\-</formatCode>
                <ptCount val="7"/>
                <pt idx="0">
                  <v>-1609.39</v>
                </pt>
                <pt idx="1">
                  <v>806.941800000001</v>
                </pt>
                <pt idx="2">
                  <v>3809.59663499999</v>
                </pt>
                <pt idx="3">
                  <v>7079.07915945001</v>
                </pt>
                <pt idx="4">
                  <v>10302.9676575525</v>
                </pt>
                <pt idx="5">
                  <v>14085.6010989356</v>
                </pt>
                <pt idx="6">
                  <v>17447.9669190378</v>
                </pt>
              </numCache>
            </numRef>
          </val>
        </ser>
        <ser>
          <idx val="2"/>
          <order val="2"/>
          <tx>
            <strRef>
              <f>"Bull"</f>
              <strCache>
                <ptCount val="1"/>
                <pt idx="0">
                  <v>Bull</v>
                </pt>
              </strCache>
            </strRef>
          </tx>
          <spPr>
            <a:solidFill xmlns:a="http://schemas.openxmlformats.org/drawingml/2006/main">
              <a:srgbClr val="4ea72e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numFmt formatCode="#,##0;\(#,##0\);\-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multiLvlStrRef>
              <multiLvlStrCache>
                <lvl>
                  <pt idx="0">
                    <v>FY33E</v>
                  </pt>
                </lvl>
                <lvl>
                  <pt idx="0">
                    <v>FY32E</v>
                  </pt>
                </lvl>
                <lvl>
                  <pt idx="0">
                    <v>FY31E</v>
                  </pt>
                </lvl>
                <lvl>
                  <pt idx="0">
                    <v>FY30E</v>
                  </pt>
                </lvl>
                <lvl>
                  <pt idx="0">
                    <v>FY29E</v>
                  </pt>
                </lvl>
                <lvl>
                  <pt idx="0">
                    <v>FY28E</v>
                  </pt>
                </lvl>
                <lvl>
                  <pt idx="0">
                    <v>FY27E</v>
                  </pt>
                </lvl>
              </multiLvlStrCache>
              <f>Output!$K$8:$Q$8</f>
            </multiLvlStrRef>
          </cat>
          <val>
            <numRef>
              <f>Output!$K$11:$Q$11</f>
              <numCache>
                <formatCode>#,##0;\(#,##0\);\-</formatCode>
                <ptCount val="7"/>
                <pt idx="0">
                  <v>-2094.39</v>
                </pt>
                <pt idx="1">
                  <v>1126.0418</v>
                </pt>
                <pt idx="2">
                  <v>5458.290135</v>
                </pt>
                <pt idx="3">
                  <v>9734.996430450001</v>
                </pt>
                <pt idx="4">
                  <v>14059.1977721325</v>
                </pt>
                <pt idx="5">
                  <v>19233.1096058126</v>
                </pt>
                <pt idx="6">
                  <v>24053.6573320057</v>
                </pt>
              </numCache>
            </numRef>
          </val>
        </ser>
        <gapWidth val="60"/>
        <overlap val="-10"/>
        <axId val="38984418"/>
        <axId val="73030943"/>
      </barChart>
      <catAx>
        <axId val="38984418"/>
        <scaling>
          <orientation val="minMax"/>
        </scaling>
        <delete val="1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3030943"/>
        <auto val="1"/>
        <lblAlgn val="ctr"/>
        <lblOffset val="100"/>
        <noMultiLvlLbl val="0"/>
      </catAx>
      <valAx>
        <axId val="73030943"/>
        <scaling>
          <orientation val="minMax"/>
        </scaling>
        <delete val="1"/>
        <axPos val="l"/>
        <majorGridlines>
          <spPr>
            <a:ln xmlns:a="http://schemas.openxmlformats.org/drawingml/2006/main" w="6480">
              <a:solidFill>
                <a:srgbClr val="ededed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FCFF (₹ Cr)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;\(#,##0\);\-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8984418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n-IN" sz="1300" b="1" strike="noStrike" spc="-1">
                <a:solidFill>
                  <a:srgbClr val="1f3864"/>
                </a:solidFill>
                <a:latin typeface="Calibri"/>
              </a:defRPr>
            </a:pPr>
            <a:r>
              <a:rPr lang="en-IN" sz="1300" b="1" strike="noStrike" spc="-1">
                <a:solidFill>
                  <a:srgbClr val="1f3864"/>
                </a:solidFill>
                <a:latin typeface="Calibri"/>
              </a:rPr>
              <a:t>Implied Share Price by Scenario vs. Current Market Price (₹336)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"Gordon Growth"</f>
              <strCache>
                <ptCount val="1"/>
                <pt idx="0">
                  <v>Gordon Growth</v>
                </pt>
              </strCache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numFmt formatCode="\₹#,##0.00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800" b="1" strike="noStrike" spc="-1">
                    <a:solidFill>
                      <a:srgbClr val="40404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multiLvlStrRef>
              <multiLvlStrCache>
                <lvl>
                  <pt idx="0">
                    <v>Bull Case</v>
                  </pt>
                </lvl>
                <lvl>
                  <pt idx="0">
                    <v>Base Case</v>
                  </pt>
                </lvl>
                <lvl>
                  <pt idx="0">
                    <v>Bear Case</v>
                  </pt>
                </lvl>
              </multiLvlStrCache>
              <f>Output!$B$6:$D$6</f>
            </multiLvlStrRef>
          </cat>
          <val>
            <numRef>
              <f>Output!$B$18:$D$18</f>
              <numCache>
                <formatCode>\₹#,##0.00</formatCode>
                <ptCount val="3"/>
                <pt idx="0">
                  <v>60.6315468549976</v>
                </pt>
                <pt idx="1">
                  <v>95.1748574497072</v>
                </pt>
                <pt idx="2">
                  <v>130.518987868846</v>
                </pt>
              </numCache>
            </numRef>
          </val>
        </ser>
        <ser>
          <idx val="1"/>
          <order val="1"/>
          <tx>
            <strRef>
              <f>"Exit Multiple"</f>
              <strCache>
                <ptCount val="1"/>
                <pt idx="0">
                  <v>Exit Multiple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numFmt formatCode="\₹#,##0.00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800" b="1" strike="noStrike" spc="-1">
                    <a:solidFill>
                      <a:srgbClr val="40404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LeaderLines val="0"/>
          </dLbls>
          <cat>
            <multiLvlStrRef>
              <multiLvlStrCache>
                <lvl>
                  <pt idx="0">
                    <v>Bull Case</v>
                  </pt>
                </lvl>
                <lvl>
                  <pt idx="0">
                    <v>Base Case</v>
                  </pt>
                </lvl>
                <lvl>
                  <pt idx="0">
                    <v>Bear Case</v>
                  </pt>
                </lvl>
              </multiLvlStrCache>
              <f>Output!$B$6:$D$6</f>
            </multiLvlStrRef>
          </cat>
          <val>
            <numRef>
              <f>Output!$B$19:$D$19</f>
              <numCache>
                <formatCode>\₹#,##0.00</formatCode>
                <ptCount val="3"/>
                <pt idx="0">
                  <v>109.43890674996</v>
                </pt>
                <pt idx="1">
                  <v>206.458992858824</v>
                </pt>
                <pt idx="2">
                  <v>319.968487183366</v>
                </pt>
              </numCache>
            </numRef>
          </val>
        </ser>
        <gapWidth val="70"/>
        <overlap val="-10"/>
        <axId val="86706193"/>
        <axId val="6521926"/>
      </barChart>
      <catAx>
        <axId val="86706193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521926"/>
        <auto val="1"/>
        <lblAlgn val="ctr"/>
        <lblOffset val="100"/>
        <noMultiLvlLbl val="0"/>
      </catAx>
      <valAx>
        <axId val="6521926"/>
        <scaling>
          <orientation val="minMax"/>
        </scaling>
        <delete val="1"/>
        <axPos val="l"/>
        <majorGridlines>
          <spPr>
            <a:ln xmlns:a="http://schemas.openxmlformats.org/drawingml/2006/main" w="6480">
              <a:solidFill>
                <a:srgbClr val="ededed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per share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₹#,##0.00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6706193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51</row>
      <rowOff>0</rowOff>
    </from>
    <to>
      <col>6</col>
      <colOff>532080</colOff>
      <row>70</row>
      <rowOff>159120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72</row>
      <rowOff>0</rowOff>
    </from>
    <to>
      <col>6</col>
      <colOff>532080</colOff>
      <row>91</row>
      <rowOff>159120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93</row>
      <rowOff>0</rowOff>
    </from>
    <to>
      <col>6</col>
      <colOff>532080</colOff>
      <row>112</row>
      <rowOff>159480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3:G41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E43" activeCellId="0" sqref="E43"/>
    </sheetView>
  </sheetViews>
  <sheetFormatPr baseColWidth="8" defaultColWidth="8.6328125" defaultRowHeight="14.25" zeroHeight="0" outlineLevelRow="0"/>
  <cols>
    <col width="3" customWidth="1" style="66" min="1" max="1"/>
    <col width="18" customWidth="1" style="66" min="2" max="6"/>
    <col width="25.27" customWidth="1" style="66" min="7" max="7"/>
    <col width="3" customWidth="1" style="66" min="8" max="8"/>
  </cols>
  <sheetData>
    <row r="3" ht="30" customHeight="1" s="67">
      <c r="B3" s="68" t="inlineStr">
        <is>
          <t>ETERNAL LIMITED (ZOMATO)</t>
        </is>
      </c>
    </row>
    <row r="4" ht="19.5" customHeight="1" s="67">
      <c r="B4" s="69" t="inlineStr">
        <is>
          <t>Discounted Cash Flow (DCF) Valuation Model</t>
        </is>
      </c>
    </row>
    <row r="5" ht="14.25" customHeight="1" s="67">
      <c r="B5" s="70" t="inlineStr">
        <is>
          <t xml:space="preserve"> 3-Statement-Linked Model | Scenario &amp; Sensitivity Analysis</t>
        </is>
      </c>
    </row>
    <row r="6" ht="14.25" customHeight="1" s="67">
      <c r="B6" s="71" t="n"/>
      <c r="C6" s="71" t="n"/>
      <c r="D6" s="71" t="n"/>
      <c r="E6" s="71" t="n"/>
      <c r="F6" s="71" t="n"/>
      <c r="G6" s="71" t="n"/>
    </row>
    <row r="7" ht="6" customHeight="1" s="67">
      <c r="B7" s="71" t="n"/>
      <c r="C7" s="71" t="n"/>
      <c r="D7" s="71" t="n"/>
      <c r="E7" s="71" t="n"/>
      <c r="F7" s="71" t="n"/>
      <c r="G7" s="71" t="n"/>
    </row>
    <row r="8" ht="14.25" customHeight="1" s="67">
      <c r="B8" s="71" t="n"/>
      <c r="C8" s="71" t="n"/>
      <c r="D8" s="71" t="n"/>
      <c r="E8" s="71" t="n"/>
      <c r="F8" s="71" t="n"/>
      <c r="G8" s="71" t="n"/>
    </row>
    <row r="10" ht="14.25" customHeight="1" s="67">
      <c r="B10" s="72" t="inlineStr">
        <is>
          <t>NSE / BSE: ETERNAL | 543320        Sector: Consumer Internet — Food Delivery, Quick Commerce &amp; B2B Supplies</t>
        </is>
      </c>
    </row>
    <row r="12" ht="14.25" customHeight="1" s="67">
      <c r="B12" s="73" t="inlineStr">
        <is>
          <t>Prepared by:</t>
        </is>
      </c>
      <c r="C12" s="74" t="inlineStr">
        <is>
          <t>Debayan Bandyopadhyay</t>
        </is>
      </c>
    </row>
    <row r="13" ht="14.25" customHeight="1" s="67">
      <c r="B13" s="73" t="inlineStr">
        <is>
          <t>Prepared for:</t>
        </is>
      </c>
      <c r="C13" s="75" t="inlineStr">
        <is>
          <t xml:space="preserve"> Portfolio Project (FMVA)</t>
        </is>
      </c>
    </row>
    <row r="14" ht="14.25" customHeight="1" s="67">
      <c r="B14" s="73" t="inlineStr">
        <is>
          <t>Valuation date:</t>
        </is>
      </c>
      <c r="C14" s="75" t="inlineStr">
        <is>
          <t>24-September-2026</t>
        </is>
      </c>
    </row>
    <row r="15" ht="14.25" customHeight="1" s="67">
      <c r="B15" s="73" t="inlineStr">
        <is>
          <t>Currency / units:</t>
        </is>
      </c>
      <c r="C15" s="75" t="inlineStr">
        <is>
          <t>Indian Rupees, in Crore (₹ Cr), unless stated otherwise</t>
        </is>
      </c>
    </row>
    <row r="16" ht="14.25" customHeight="1" s="67">
      <c r="B16" s="73" t="inlineStr">
        <is>
          <t>Valuation method:</t>
        </is>
      </c>
      <c r="C16" s="75" t="inlineStr">
        <is>
          <t>Unlevered FCFF DCF — Gordon Growth + Exit Multiple cross-check; FY27 includes Q1 actual run-rate calibration</t>
        </is>
      </c>
    </row>
    <row r="17" ht="14.25" customHeight="1" s="67">
      <c r="B17" s="73" t="inlineStr">
        <is>
          <t>Scenarios modeled:</t>
        </is>
      </c>
      <c r="C17" s="75" t="inlineStr">
        <is>
          <t>Bear Case | Base Case | Bull Case — fully linked, driver-based</t>
        </is>
      </c>
    </row>
    <row r="19" ht="14.25" customHeight="1" s="67">
      <c r="B19" s="76" t="inlineStr">
        <is>
          <t>Workbook contents</t>
        </is>
      </c>
    </row>
    <row r="20" ht="14.25" customHeight="1" s="67">
      <c r="B20" s="73" t="inlineStr">
        <is>
          <t>1. Cover</t>
        </is>
      </c>
      <c r="C20" s="75" t="inlineStr">
        <is>
          <t>This page — model scope, author &amp; navigation</t>
        </is>
      </c>
    </row>
    <row r="21" ht="14.25" customHeight="1" s="67">
      <c r="B21" s="73" t="inlineStr">
        <is>
          <t>2. Output</t>
        </is>
      </c>
      <c r="C21" s="75" t="inlineStr">
        <is>
          <t>Valuation summary, scenario comparison, sensitivity tables &amp; charts</t>
        </is>
      </c>
    </row>
    <row r="22" ht="14.25" customHeight="1" s="67">
      <c r="B22" s="73" t="inlineStr">
        <is>
          <t>3. Inputs</t>
        </is>
      </c>
      <c r="C22" s="75" t="inlineStr">
        <is>
          <t>All hardcoded assumptions (blue) — company data, WACC build, 3-scenario drivers</t>
        </is>
      </c>
    </row>
    <row r="23" ht="14.25" customHeight="1" s="67">
      <c r="B23" s="73" t="inlineStr">
        <is>
          <t>4. Model</t>
        </is>
      </c>
      <c r="C23" s="75" t="inlineStr">
        <is>
          <t>Fully-linked operating schedules: revenue, cost, D&amp;A, debt, tax, FCFF, DCF — for each scenario</t>
        </is>
      </c>
    </row>
    <row r="24" ht="14.25" customHeight="1" s="67">
      <c r="B24" s="77" t="inlineStr">
        <is>
          <t>5. Sources</t>
        </is>
      </c>
      <c r="C24" s="75" t="inlineStr">
        <is>
          <t>Assumption audit, source list, v1.1 changes and known limitations</t>
        </is>
      </c>
    </row>
    <row r="25" ht="14.25" customHeight="1" s="67">
      <c r="B25" s="76" t="inlineStr">
        <is>
          <t>Formatting convention</t>
        </is>
      </c>
    </row>
    <row r="26" ht="14.25" customHeight="1" s="67">
      <c r="B26" s="78" t="inlineStr">
        <is>
          <t>Blue font</t>
        </is>
      </c>
      <c r="C26" s="75" t="inlineStr">
        <is>
          <t>Hardcoded inputs / assumptions — the only cells that should be edited</t>
        </is>
      </c>
    </row>
    <row r="27" ht="14.25" customHeight="1" s="67">
      <c r="B27" s="73" t="inlineStr">
        <is>
          <t>Black font</t>
        </is>
      </c>
      <c r="C27" s="75" t="inlineStr">
        <is>
          <t>Formulas / calculated outputs — fully linked, do not hardcode over these</t>
        </is>
      </c>
    </row>
    <row r="29" ht="90" customHeight="1" s="67">
      <c r="B29" s="79" t="inlineStr">
        <is>
          <t>Disclaimer: This model is for academic and interview purposes and uses publicly available information on Eternal Ltd. Historical figures are sourced from company disclosures and market data; forecast assumptions are my own estimates. This is not investment research or a recommendation. Check the latest company filings before using the model for any investment decision.</t>
        </is>
      </c>
    </row>
    <row r="30" ht="14.25" customHeight="1" s="67"/>
    <row r="31" ht="14.25" customHeight="1" s="67"/>
    <row r="32" ht="14.25" customHeight="1" s="67"/>
    <row r="33" ht="14.25" customHeight="1" s="67"/>
    <row r="34" ht="14.25" customHeight="1" s="67"/>
    <row r="40" ht="14.25" customHeight="1" s="67">
      <c r="A40" s="80" t="n"/>
    </row>
    <row r="41" ht="14.25" customHeight="1" s="67">
      <c r="A41" s="80" t="n"/>
    </row>
  </sheetData>
  <mergeCells count="17">
    <mergeCell ref="B3:G3"/>
    <mergeCell ref="C21:G21"/>
    <mergeCell ref="B10:G10"/>
    <mergeCell ref="C20:G20"/>
    <mergeCell ref="C12:G12"/>
    <mergeCell ref="B5:G5"/>
    <mergeCell ref="B29:G34"/>
    <mergeCell ref="C16:G16"/>
    <mergeCell ref="C15:G15"/>
    <mergeCell ref="C27:G27"/>
    <mergeCell ref="B4:G4"/>
    <mergeCell ref="C14:G14"/>
    <mergeCell ref="C23:G23"/>
    <mergeCell ref="C13:G13"/>
    <mergeCell ref="C22:G22"/>
    <mergeCell ref="C17:G17"/>
    <mergeCell ref="C26:G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R121"/>
  <sheetViews>
    <sheetView showFormulas="0" showGridLines="0" showRowColHeaders="1" showZeros="1" rightToLeft="0" tabSelected="0" showOutlineSymbols="1" defaultGridColor="1" view="normal" topLeftCell="A113" colorId="64" zoomScale="90" zoomScaleNormal="90" zoomScalePageLayoutView="100" workbookViewId="0">
      <selection pane="topLeft" activeCell="B116" activeCellId="0" sqref="B116"/>
    </sheetView>
  </sheetViews>
  <sheetFormatPr baseColWidth="8" defaultColWidth="8.6328125" defaultRowHeight="14.25" zeroHeight="0" outlineLevelRow="0"/>
  <cols>
    <col width="40" customWidth="1" style="66" min="1" max="1"/>
    <col width="15" customWidth="1" style="66" min="2" max="7"/>
    <col width="2" customWidth="1" style="66" min="8" max="8"/>
    <col width="14.36" customWidth="1" style="66" min="10" max="10"/>
    <col width="11" customWidth="1" style="66" min="11" max="18"/>
  </cols>
  <sheetData>
    <row r="1" ht="21.75" customHeight="1" s="67">
      <c r="A1" s="81" t="inlineStr">
        <is>
          <t>ETERNAL LTD (ZOMATO) — DCF VALUATION: OUTPUT SUMMARY  (₹ Crore unless stated)</t>
        </is>
      </c>
    </row>
    <row r="2" ht="21.75" customHeight="1" s="67">
      <c r="A2" s="82" t="inlineStr">
        <is>
          <t>AT A
GLANCE</t>
        </is>
      </c>
      <c r="B2" s="83">
        <f>Inputs!$B$39</f>
        <v/>
      </c>
      <c r="C2" s="84">
        <f>Model!C53</f>
        <v/>
      </c>
      <c r="D2" s="84">
        <f>Model!C54</f>
        <v/>
      </c>
      <c r="E2" s="84">
        <f>Model!C55</f>
        <v/>
      </c>
      <c r="F2" s="83">
        <f>Model!C57</f>
        <v/>
      </c>
      <c r="G2" s="83">
        <f>(Model!I5/Model!B5)^(1/7)-1</f>
        <v/>
      </c>
    </row>
    <row r="3" ht="24" customHeight="1" s="67">
      <c r="B3" s="85" t="inlineStr">
        <is>
          <t>WACC</t>
        </is>
      </c>
      <c r="C3" s="85" t="inlineStr">
        <is>
          <t>BASE PX — GORDON GROWTH</t>
        </is>
      </c>
      <c r="D3" s="85" t="inlineStr">
        <is>
          <t>BASE PX — EXIT MULTIPLE</t>
        </is>
      </c>
      <c r="E3" s="85" t="inlineStr">
        <is>
          <t>CURRENT MARKET PRICE</t>
        </is>
      </c>
      <c r="F3" s="85" t="inlineStr">
        <is>
          <t>BASE UPSIDE — EXIT MULT.</t>
        </is>
      </c>
      <c r="G3" s="85" t="inlineStr">
        <is>
          <t>BASE REVENUE CAGR FY26A-33E</t>
        </is>
      </c>
      <c r="J3" s="86" t="inlineStr">
        <is>
          <t>Chart data (linked — do not delete)</t>
        </is>
      </c>
    </row>
    <row r="4" ht="14.25" customHeight="1" s="67">
      <c r="J4" s="66" t="inlineStr">
        <is>
          <t>Year</t>
        </is>
      </c>
      <c r="K4" s="75" t="inlineStr">
        <is>
          <t>FY26A</t>
        </is>
      </c>
      <c r="L4" s="75" t="inlineStr">
        <is>
          <t>FY27E</t>
        </is>
      </c>
      <c r="M4" s="75" t="inlineStr">
        <is>
          <t>FY28E</t>
        </is>
      </c>
      <c r="N4" s="75" t="inlineStr">
        <is>
          <t>FY29E</t>
        </is>
      </c>
      <c r="O4" s="75" t="inlineStr">
        <is>
          <t>FY30E</t>
        </is>
      </c>
      <c r="P4" s="75" t="inlineStr">
        <is>
          <t>FY31E</t>
        </is>
      </c>
      <c r="Q4" s="75" t="inlineStr">
        <is>
          <t>FY32E</t>
        </is>
      </c>
      <c r="R4" s="75" t="inlineStr">
        <is>
          <t>FY33E</t>
        </is>
      </c>
    </row>
    <row r="5" ht="18" customHeight="1" s="67">
      <c r="A5" s="87" t="inlineStr">
        <is>
          <t>A.  SCENARIO COMPARISON — BEAR  |  BASE  |  BULL</t>
        </is>
      </c>
      <c r="B5" s="87" t="n"/>
      <c r="C5" s="87" t="n"/>
      <c r="D5" s="87" t="n"/>
      <c r="E5" s="87" t="n"/>
      <c r="F5" s="87" t="n"/>
      <c r="G5" s="87" t="n"/>
      <c r="J5" s="66" t="inlineStr">
        <is>
          <t>Revenue — Base (₹ Cr)</t>
        </is>
      </c>
      <c r="K5" s="88">
        <f>Model!B5</f>
        <v/>
      </c>
      <c r="L5" s="88">
        <f>Model!C5</f>
        <v/>
      </c>
      <c r="M5" s="88">
        <f>Model!D5</f>
        <v/>
      </c>
      <c r="N5" s="88">
        <f>Model!E5</f>
        <v/>
      </c>
      <c r="O5" s="88">
        <f>Model!F5</f>
        <v/>
      </c>
      <c r="P5" s="88">
        <f>Model!G5</f>
        <v/>
      </c>
      <c r="Q5" s="88">
        <f>Model!H5</f>
        <v/>
      </c>
      <c r="R5" s="88">
        <f>Model!I5</f>
        <v/>
      </c>
    </row>
    <row r="6" ht="14.25" customHeight="1" s="67">
      <c r="A6" s="89" t="inlineStr">
        <is>
          <t>Metric</t>
        </is>
      </c>
      <c r="B6" s="90" t="inlineStr">
        <is>
          <t>Bear Case</t>
        </is>
      </c>
      <c r="C6" s="90" t="inlineStr">
        <is>
          <t>Base Case</t>
        </is>
      </c>
      <c r="D6" s="90" t="inlineStr">
        <is>
          <t>Bull Case</t>
        </is>
      </c>
      <c r="J6" s="66" t="inlineStr">
        <is>
          <t>EBITDA margin — Base (%)</t>
        </is>
      </c>
      <c r="K6" s="91">
        <f>Model!B14</f>
        <v/>
      </c>
      <c r="L6" s="91">
        <f>Model!C14</f>
        <v/>
      </c>
      <c r="M6" s="91">
        <f>Model!D14</f>
        <v/>
      </c>
      <c r="N6" s="91">
        <f>Model!E14</f>
        <v/>
      </c>
      <c r="O6" s="91">
        <f>Model!F14</f>
        <v/>
      </c>
      <c r="P6" s="91">
        <f>Model!G14</f>
        <v/>
      </c>
      <c r="Q6" s="91">
        <f>Model!H14</f>
        <v/>
      </c>
      <c r="R6" s="91">
        <f>Model!I14</f>
        <v/>
      </c>
    </row>
    <row r="7" ht="14.25" customHeight="1" s="67">
      <c r="A7" s="75" t="inlineStr">
        <is>
          <t>Revenue FY33E</t>
        </is>
      </c>
      <c r="B7" s="92">
        <f>Model!I119</f>
        <v/>
      </c>
      <c r="C7" s="92">
        <f>Model!I5</f>
        <v/>
      </c>
      <c r="D7" s="92">
        <f>Model!I62</f>
        <v/>
      </c>
    </row>
    <row r="8" ht="14.25" customHeight="1" s="67">
      <c r="A8" s="75" t="inlineStr">
        <is>
          <t>EBITDA FY33E</t>
        </is>
      </c>
      <c r="B8" s="92">
        <f>Model!I127</f>
        <v/>
      </c>
      <c r="C8" s="92">
        <f>Model!I13</f>
        <v/>
      </c>
      <c r="D8" s="92">
        <f>Model!I70</f>
        <v/>
      </c>
      <c r="J8" s="66" t="inlineStr">
        <is>
          <t>Year (forecast only)</t>
        </is>
      </c>
      <c r="K8" s="75" t="inlineStr">
        <is>
          <t>FY27E</t>
        </is>
      </c>
      <c r="L8" s="75" t="inlineStr">
        <is>
          <t>FY28E</t>
        </is>
      </c>
      <c r="M8" s="75" t="inlineStr">
        <is>
          <t>FY29E</t>
        </is>
      </c>
      <c r="N8" s="75" t="inlineStr">
        <is>
          <t>FY30E</t>
        </is>
      </c>
      <c r="O8" s="75" t="inlineStr">
        <is>
          <t>FY31E</t>
        </is>
      </c>
      <c r="P8" s="75" t="inlineStr">
        <is>
          <t>FY32E</t>
        </is>
      </c>
      <c r="Q8" s="75" t="inlineStr">
        <is>
          <t>FY33E</t>
        </is>
      </c>
    </row>
    <row r="9" ht="14.25" customHeight="1" s="67">
      <c r="A9" s="75" t="inlineStr">
        <is>
          <t>EBITDA margin FY33E</t>
        </is>
      </c>
      <c r="B9" s="93">
        <f>Model!I128</f>
        <v/>
      </c>
      <c r="C9" s="93">
        <f>Model!I14</f>
        <v/>
      </c>
      <c r="D9" s="93">
        <f>Model!I71</f>
        <v/>
      </c>
      <c r="J9" s="66" t="inlineStr">
        <is>
          <t>FCFF — Bear (₹ Cr)</t>
        </is>
      </c>
      <c r="K9" s="88">
        <f>Model!C144</f>
        <v/>
      </c>
      <c r="L9" s="88">
        <f>Model!D144</f>
        <v/>
      </c>
      <c r="M9" s="88">
        <f>Model!E144</f>
        <v/>
      </c>
      <c r="N9" s="88">
        <f>Model!F144</f>
        <v/>
      </c>
      <c r="O9" s="88">
        <f>Model!G144</f>
        <v/>
      </c>
      <c r="P9" s="88">
        <f>Model!H144</f>
        <v/>
      </c>
      <c r="Q9" s="88">
        <f>Model!I144</f>
        <v/>
      </c>
    </row>
    <row r="10" ht="14.25" customHeight="1" s="67">
      <c r="A10" s="75" t="inlineStr">
        <is>
          <t>FCFF FY33E</t>
        </is>
      </c>
      <c r="B10" s="92">
        <f>Model!I144</f>
        <v/>
      </c>
      <c r="C10" s="92">
        <f>Model!I30</f>
        <v/>
      </c>
      <c r="D10" s="92">
        <f>Model!I87</f>
        <v/>
      </c>
      <c r="J10" s="66" t="inlineStr">
        <is>
          <t>FCFF — Base (₹ Cr)</t>
        </is>
      </c>
      <c r="K10" s="88">
        <f>Model!C30</f>
        <v/>
      </c>
      <c r="L10" s="88">
        <f>Model!D30</f>
        <v/>
      </c>
      <c r="M10" s="88">
        <f>Model!E30</f>
        <v/>
      </c>
      <c r="N10" s="88">
        <f>Model!F30</f>
        <v/>
      </c>
      <c r="O10" s="88">
        <f>Model!G30</f>
        <v/>
      </c>
      <c r="P10" s="88">
        <f>Model!H30</f>
        <v/>
      </c>
      <c r="Q10" s="88">
        <f>Model!I30</f>
        <v/>
      </c>
    </row>
    <row r="11" ht="14.25" customHeight="1" s="67">
      <c r="A11" s="75" t="inlineStr">
        <is>
          <t>Revenue CAGR FY26A-FY33E</t>
        </is>
      </c>
      <c r="B11" s="93">
        <f>(Model!I119/Model!B119)^(1/7)-1</f>
        <v/>
      </c>
      <c r="C11" s="93">
        <f>(Model!I5/Model!B5)^(1/7)-1</f>
        <v/>
      </c>
      <c r="D11" s="93">
        <f>(Model!I62/Model!B62)^(1/7)-1</f>
        <v/>
      </c>
      <c r="J11" s="66" t="inlineStr">
        <is>
          <t>FCFF — Bull (₹ Cr)</t>
        </is>
      </c>
      <c r="K11" s="88">
        <f>Model!C87</f>
        <v/>
      </c>
      <c r="L11" s="88">
        <f>Model!D87</f>
        <v/>
      </c>
      <c r="M11" s="88">
        <f>Model!E87</f>
        <v/>
      </c>
      <c r="N11" s="88">
        <f>Model!F87</f>
        <v/>
      </c>
      <c r="O11" s="88">
        <f>Model!G87</f>
        <v/>
      </c>
      <c r="P11" s="88">
        <f>Model!H87</f>
        <v/>
      </c>
      <c r="Q11" s="88">
        <f>Model!I87</f>
        <v/>
      </c>
    </row>
    <row r="13" ht="14.25" customHeight="1" s="67">
      <c r="A13" s="73" t="inlineStr">
        <is>
          <t>Enterprise Value — Gordon Growth</t>
        </is>
      </c>
      <c r="B13" s="94">
        <f>Model!C161</f>
        <v/>
      </c>
      <c r="C13" s="94">
        <f>Model!C47</f>
        <v/>
      </c>
      <c r="D13" s="94">
        <f>Model!C104</f>
        <v/>
      </c>
    </row>
    <row r="14" ht="14.25" customHeight="1" s="67">
      <c r="A14" s="73" t="inlineStr">
        <is>
          <t>Enterprise Value — Exit Multiple</t>
        </is>
      </c>
      <c r="B14" s="94">
        <f>Model!C162</f>
        <v/>
      </c>
      <c r="C14" s="94">
        <f>Model!C48</f>
        <v/>
      </c>
      <c r="D14" s="94">
        <f>Model!C105</f>
        <v/>
      </c>
    </row>
    <row r="15" ht="14.25" customHeight="1" s="67">
      <c r="A15" s="75" t="inlineStr">
        <is>
          <t>Equity Value — Gordon Growth</t>
        </is>
      </c>
      <c r="B15" s="92">
        <f>Model!C164</f>
        <v/>
      </c>
      <c r="C15" s="92">
        <f>Model!C50</f>
        <v/>
      </c>
      <c r="D15" s="92">
        <f>Model!C107</f>
        <v/>
      </c>
    </row>
    <row r="16" ht="14.25" customHeight="1" s="67">
      <c r="A16" s="75" t="inlineStr">
        <is>
          <t>Equity Value — Exit Multiple</t>
        </is>
      </c>
      <c r="B16" s="92">
        <f>Model!C165</f>
        <v/>
      </c>
      <c r="C16" s="92">
        <f>Model!C51</f>
        <v/>
      </c>
      <c r="D16" s="92">
        <f>Model!C108</f>
        <v/>
      </c>
    </row>
    <row r="18" ht="14.25" customHeight="1" s="67">
      <c r="A18" s="73" t="inlineStr">
        <is>
          <t>Implied Share Price — Gordon Growth (₹)</t>
        </is>
      </c>
      <c r="B18" s="95">
        <f>Model!C167</f>
        <v/>
      </c>
      <c r="C18" s="95">
        <f>Model!C53</f>
        <v/>
      </c>
      <c r="D18" s="95">
        <f>Model!C110</f>
        <v/>
      </c>
    </row>
    <row r="19" ht="14.25" customHeight="1" s="67">
      <c r="A19" s="73" t="inlineStr">
        <is>
          <t>Implied Share Price — Exit Multiple (₹)</t>
        </is>
      </c>
      <c r="B19" s="95">
        <f>Model!C168</f>
        <v/>
      </c>
      <c r="C19" s="95">
        <f>Model!C54</f>
        <v/>
      </c>
      <c r="D19" s="95">
        <f>Model!C111</f>
        <v/>
      </c>
    </row>
    <row r="20" ht="14.25" customHeight="1" s="67">
      <c r="A20" s="75" t="inlineStr">
        <is>
          <t>Current Market Price (₹)</t>
        </is>
      </c>
      <c r="B20" s="96">
        <f>Model!C169</f>
        <v/>
      </c>
      <c r="C20" s="96">
        <f>Model!C55</f>
        <v/>
      </c>
      <c r="D20" s="96">
        <f>Model!C112</f>
        <v/>
      </c>
    </row>
    <row r="21" ht="14.25" customHeight="1" s="67">
      <c r="A21" s="75" t="inlineStr">
        <is>
          <t>Upside/(Downside) — Gordon Growth</t>
        </is>
      </c>
      <c r="B21" s="93">
        <f>Model!C170</f>
        <v/>
      </c>
      <c r="C21" s="93">
        <f>Model!C56</f>
        <v/>
      </c>
      <c r="D21" s="93">
        <f>Model!C113</f>
        <v/>
      </c>
    </row>
    <row r="22" ht="14.25" customHeight="1" s="67">
      <c r="A22" s="75" t="inlineStr">
        <is>
          <t>Upside/(Downside) — Exit Multiple</t>
        </is>
      </c>
      <c r="B22" s="93">
        <f>Model!C171</f>
        <v/>
      </c>
      <c r="C22" s="93">
        <f>Model!C57</f>
        <v/>
      </c>
      <c r="D22" s="93">
        <f>Model!C114</f>
        <v/>
      </c>
    </row>
    <row r="24" ht="18" customHeight="1" s="67">
      <c r="A24" s="87" t="inlineStr">
        <is>
          <t>B.  DISCOUNT RATE &amp; TERMINAL VALUE ASSUMPTIONS RECAP</t>
        </is>
      </c>
      <c r="B24" s="87" t="n"/>
      <c r="C24" s="87" t="n"/>
      <c r="D24" s="87" t="n"/>
      <c r="E24" s="87" t="n"/>
      <c r="F24" s="87" t="n"/>
      <c r="G24" s="87" t="n"/>
    </row>
    <row r="25" ht="14.25" customHeight="1" s="67">
      <c r="A25" s="75" t="inlineStr">
        <is>
          <t>WACC (single rate, all scenarios)</t>
        </is>
      </c>
      <c r="B25" s="97">
        <f>Inputs!$B$39</f>
        <v/>
      </c>
    </row>
    <row r="26" ht="14.25" customHeight="1" s="67">
      <c r="A26" s="75" t="inlineStr">
        <is>
          <t>Cost of equity (CAPM)</t>
        </is>
      </c>
      <c r="B26" s="93">
        <f>Inputs!$B$31</f>
        <v/>
      </c>
    </row>
    <row r="27" ht="14.25" customHeight="1" s="67">
      <c r="A27" s="75" t="inlineStr">
        <is>
          <t>Terminal growth rate (g)</t>
        </is>
      </c>
      <c r="B27" s="93">
        <f>Inputs!$C$81</f>
        <v/>
      </c>
      <c r="C27" s="93">
        <f>Inputs!$C$57</f>
        <v/>
      </c>
      <c r="D27" s="93">
        <f>Inputs!$C$69</f>
        <v/>
      </c>
    </row>
    <row r="28" ht="14.25" customHeight="1" s="67">
      <c r="A28" s="75" t="inlineStr">
        <is>
          <t>Exit EV/EBITDA multiple</t>
        </is>
      </c>
      <c r="B28" s="98">
        <f>Inputs!$C$82</f>
        <v/>
      </c>
      <c r="C28" s="98">
        <f>Inputs!$C$58</f>
        <v/>
      </c>
      <c r="D28" s="98">
        <f>Inputs!$C$70</f>
        <v/>
      </c>
    </row>
    <row r="30" ht="18" customHeight="1" s="67">
      <c r="A30" s="87" t="inlineStr">
        <is>
          <t>C.  SENSITIVITY — IMPLIED SHARE PRICE (₹): WACC  ×  TERMINAL GROWTH RATE  (Gordon Growth method, Base Case cash flows)</t>
        </is>
      </c>
      <c r="B30" s="87" t="n"/>
      <c r="C30" s="87" t="n"/>
      <c r="D30" s="87" t="n"/>
      <c r="E30" s="87" t="n"/>
      <c r="F30" s="87" t="n"/>
      <c r="G30" s="87" t="n"/>
    </row>
    <row r="31" ht="27.75" customHeight="1" s="67">
      <c r="A31" s="79" t="inlineStr">
        <is>
          <t>Rows = WACC (± around base WACC); Columns = terminal growth g (± around base g). Formula: (NPV(WACC, Base-case FCFF FY27E-FY33E) + [FCFF FY33E×(1+g)/(WACC-g)] / (1+WACC)^7 − Net debt) / Diluted shares.</t>
        </is>
      </c>
    </row>
    <row r="32" ht="14.25" customHeight="1" s="67">
      <c r="A32" s="99" t="inlineStr">
        <is>
          <t>WACC \ Terminal g</t>
        </is>
      </c>
      <c r="B32" s="100">
        <f>Inputs!$C$57-0.01</f>
        <v/>
      </c>
      <c r="C32" s="100">
        <f>Inputs!$C$57-0.005</f>
        <v/>
      </c>
      <c r="D32" s="100">
        <f>Inputs!$C$57</f>
        <v/>
      </c>
      <c r="E32" s="100">
        <f>Inputs!$C$57+0.005</f>
        <v/>
      </c>
      <c r="F32" s="100">
        <f>Inputs!$C$57+0.01</f>
        <v/>
      </c>
    </row>
    <row r="33" ht="14.25" customHeight="1" s="67">
      <c r="A33" s="101">
        <f>Inputs!$B$39-0.02</f>
        <v/>
      </c>
      <c r="B33" s="102">
        <f>(NPV($A33,Model!$C$30:$I$30)+(Model!$I$30*(1+B$32)/($A33-B$32))/(1+$A33)^7-Inputs!$B$25)/Inputs!$B$8</f>
        <v/>
      </c>
      <c r="C33" s="102">
        <f>(NPV($A33,Model!$C$30:$I$30)+(Model!$I$30*(1+C$32)/($A33-C$32))/(1+$A33)^7-Inputs!$B$25)/Inputs!$B$8</f>
        <v/>
      </c>
      <c r="D33" s="102">
        <f>(NPV($A33,Model!$C$30:$I$30)+(Model!$I$30*(1+D$32)/($A33-D$32))/(1+$A33)^7-Inputs!$B$25)/Inputs!$B$8</f>
        <v/>
      </c>
      <c r="E33" s="102">
        <f>(NPV($A33,Model!$C$30:$I$30)+(Model!$I$30*(1+E$32)/($A33-E$32))/(1+$A33)^7-Inputs!$B$25)/Inputs!$B$8</f>
        <v/>
      </c>
      <c r="F33" s="102">
        <f>(NPV($A33,Model!$C$30:$I$30)+(Model!$I$30*(1+F$32)/($A33-F$32))/(1+$A33)^7-Inputs!$B$25)/Inputs!$B$8</f>
        <v/>
      </c>
    </row>
    <row r="34" ht="14.25" customHeight="1" s="67">
      <c r="A34" s="101">
        <f>Inputs!$B$39-0.01</f>
        <v/>
      </c>
      <c r="B34" s="102">
        <f>(NPV($A34,Model!$C$30:$I$30)+(Model!$I$30*(1+B$32)/($A34-B$32))/(1+$A34)^7-Inputs!$B$25)/Inputs!$B$8</f>
        <v/>
      </c>
      <c r="C34" s="102">
        <f>(NPV($A34,Model!$C$30:$I$30)+(Model!$I$30*(1+C$32)/($A34-C$32))/(1+$A34)^7-Inputs!$B$25)/Inputs!$B$8</f>
        <v/>
      </c>
      <c r="D34" s="102">
        <f>(NPV($A34,Model!$C$30:$I$30)+(Model!$I$30*(1+D$32)/($A34-D$32))/(1+$A34)^7-Inputs!$B$25)/Inputs!$B$8</f>
        <v/>
      </c>
      <c r="E34" s="102">
        <f>(NPV($A34,Model!$C$30:$I$30)+(Model!$I$30*(1+E$32)/($A34-E$32))/(1+$A34)^7-Inputs!$B$25)/Inputs!$B$8</f>
        <v/>
      </c>
      <c r="F34" s="102">
        <f>(NPV($A34,Model!$C$30:$I$30)+(Model!$I$30*(1+F$32)/($A34-F$32))/(1+$A34)^7-Inputs!$B$25)/Inputs!$B$8</f>
        <v/>
      </c>
    </row>
    <row r="35" ht="14.25" customHeight="1" s="67">
      <c r="A35" s="101">
        <f>Inputs!$B$39</f>
        <v/>
      </c>
      <c r="B35" s="102">
        <f>(NPV($A35,Model!$C$30:$I$30)+(Model!$I$30*(1+B$32)/($A35-B$32))/(1+$A35)^7-Inputs!$B$25)/Inputs!$B$8</f>
        <v/>
      </c>
      <c r="C35" s="102">
        <f>(NPV($A35,Model!$C$30:$I$30)+(Model!$I$30*(1+C$32)/($A35-C$32))/(1+$A35)^7-Inputs!$B$25)/Inputs!$B$8</f>
        <v/>
      </c>
      <c r="D35" s="102">
        <f>(NPV($A35,Model!$C$30:$I$30)+(Model!$I$30*(1+D$32)/($A35-D$32))/(1+$A35)^7-Inputs!$B$25)/Inputs!$B$8</f>
        <v/>
      </c>
      <c r="E35" s="102">
        <f>(NPV($A35,Model!$C$30:$I$30)+(Model!$I$30*(1+E$32)/($A35-E$32))/(1+$A35)^7-Inputs!$B$25)/Inputs!$B$8</f>
        <v/>
      </c>
      <c r="F35" s="102">
        <f>(NPV($A35,Model!$C$30:$I$30)+(Model!$I$30*(1+F$32)/($A35-F$32))/(1+$A35)^7-Inputs!$B$25)/Inputs!$B$8</f>
        <v/>
      </c>
    </row>
    <row r="36" ht="14.25" customHeight="1" s="67">
      <c r="A36" s="101">
        <f>Inputs!$B$39+0.01</f>
        <v/>
      </c>
      <c r="B36" s="102">
        <f>(NPV($A36,Model!$C$30:$I$30)+(Model!$I$30*(1+B$32)/($A36-B$32))/(1+$A36)^7-Inputs!$B$25)/Inputs!$B$8</f>
        <v/>
      </c>
      <c r="C36" s="102">
        <f>(NPV($A36,Model!$C$30:$I$30)+(Model!$I$30*(1+C$32)/($A36-C$32))/(1+$A36)^7-Inputs!$B$25)/Inputs!$B$8</f>
        <v/>
      </c>
      <c r="D36" s="102">
        <f>(NPV($A36,Model!$C$30:$I$30)+(Model!$I$30*(1+D$32)/($A36-D$32))/(1+$A36)^7-Inputs!$B$25)/Inputs!$B$8</f>
        <v/>
      </c>
      <c r="E36" s="102">
        <f>(NPV($A36,Model!$C$30:$I$30)+(Model!$I$30*(1+E$32)/($A36-E$32))/(1+$A36)^7-Inputs!$B$25)/Inputs!$B$8</f>
        <v/>
      </c>
      <c r="F36" s="102">
        <f>(NPV($A36,Model!$C$30:$I$30)+(Model!$I$30*(1+F$32)/($A36-F$32))/(1+$A36)^7-Inputs!$B$25)/Inputs!$B$8</f>
        <v/>
      </c>
    </row>
    <row r="37" ht="14.25" customHeight="1" s="67">
      <c r="A37" s="101">
        <f>Inputs!$B$39+0.02</f>
        <v/>
      </c>
      <c r="B37" s="102">
        <f>(NPV($A37,Model!$C$30:$I$30)+(Model!$I$30*(1+B$32)/($A37-B$32))/(1+$A37)^7-Inputs!$B$25)/Inputs!$B$8</f>
        <v/>
      </c>
      <c r="C37" s="102">
        <f>(NPV($A37,Model!$C$30:$I$30)+(Model!$I$30*(1+C$32)/($A37-C$32))/(1+$A37)^7-Inputs!$B$25)/Inputs!$B$8</f>
        <v/>
      </c>
      <c r="D37" s="102">
        <f>(NPV($A37,Model!$C$30:$I$30)+(Model!$I$30*(1+D$32)/($A37-D$32))/(1+$A37)^7-Inputs!$B$25)/Inputs!$B$8</f>
        <v/>
      </c>
      <c r="E37" s="102">
        <f>(NPV($A37,Model!$C$30:$I$30)+(Model!$I$30*(1+E$32)/($A37-E$32))/(1+$A37)^7-Inputs!$B$25)/Inputs!$B$8</f>
        <v/>
      </c>
      <c r="F37" s="102">
        <f>(NPV($A37,Model!$C$30:$I$30)+(Model!$I$30*(1+F$32)/($A37-F$32))/(1+$A37)^7-Inputs!$B$25)/Inputs!$B$8</f>
        <v/>
      </c>
    </row>
    <row r="40" ht="18" customHeight="1" s="67">
      <c r="A40" s="87" t="inlineStr">
        <is>
          <t>D.  SENSITIVITY — IMPLIED SHARE PRICE (₹): WACC  ×  EXIT EV/EBITDA MULTIPLE  (Exit Multiple method, Base Case cash flows)</t>
        </is>
      </c>
      <c r="B40" s="87" t="n"/>
      <c r="C40" s="87" t="n"/>
      <c r="D40" s="87" t="n"/>
      <c r="E40" s="87" t="n"/>
      <c r="F40" s="87" t="n"/>
      <c r="G40" s="87" t="n"/>
    </row>
    <row r="41" ht="27.75" customHeight="1" s="67">
      <c r="A41" s="79" t="inlineStr">
        <is>
          <t>Rows = WACC (± around base WACC); Columns = exit EV/EBITDA multiple (± around base multiple). Formula: (NPV(WACC, Base-case FCFF FY27E-FY33E) + [EBITDA FY33E × Multiple] / (1+WACC)^7 − Net debt) / Diluted shares.</t>
        </is>
      </c>
    </row>
    <row r="42" ht="14.25" customHeight="1" s="67">
      <c r="A42" s="99" t="inlineStr">
        <is>
          <t>WACC \ Exit Multiple</t>
        </is>
      </c>
      <c r="B42" s="103">
        <f>Inputs!$C$58-4</f>
        <v/>
      </c>
      <c r="C42" s="103">
        <f>Inputs!$C$58-2</f>
        <v/>
      </c>
      <c r="D42" s="103">
        <f>Inputs!$C$58</f>
        <v/>
      </c>
      <c r="E42" s="103">
        <f>Inputs!$C$58+2</f>
        <v/>
      </c>
      <c r="F42" s="103">
        <f>Inputs!$C$58+4</f>
        <v/>
      </c>
    </row>
    <row r="43" ht="14.25" customHeight="1" s="67">
      <c r="A43" s="101">
        <f>Inputs!$B$39-0.02</f>
        <v/>
      </c>
      <c r="B43" s="102">
        <f>(NPV($A43,Model!$C$30:$I$30)+(Model!$I$13*B$42)/(1+$A43)^7-Inputs!$B$25)/Inputs!$B$8</f>
        <v/>
      </c>
      <c r="C43" s="102">
        <f>(NPV($A43,Model!$C$30:$I$30)+(Model!$I$13*C$42)/(1+$A43)^7-Inputs!$B$25)/Inputs!$B$8</f>
        <v/>
      </c>
      <c r="D43" s="102">
        <f>(NPV($A43,Model!$C$30:$I$30)+(Model!$I$13*D$42)/(1+$A43)^7-Inputs!$B$25)/Inputs!$B$8</f>
        <v/>
      </c>
      <c r="E43" s="102">
        <f>(NPV($A43,Model!$C$30:$I$30)+(Model!$I$13*E$42)/(1+$A43)^7-Inputs!$B$25)/Inputs!$B$8</f>
        <v/>
      </c>
      <c r="F43" s="102">
        <f>(NPV($A43,Model!$C$30:$I$30)+(Model!$I$13*F$42)/(1+$A43)^7-Inputs!$B$25)/Inputs!$B$8</f>
        <v/>
      </c>
    </row>
    <row r="44" ht="14.25" customHeight="1" s="67">
      <c r="A44" s="101">
        <f>Inputs!$B$39-0.01</f>
        <v/>
      </c>
      <c r="B44" s="102">
        <f>(NPV($A44,Model!$C$30:$I$30)+(Model!$I$13*B$42)/(1+$A44)^7-Inputs!$B$25)/Inputs!$B$8</f>
        <v/>
      </c>
      <c r="C44" s="102">
        <f>(NPV($A44,Model!$C$30:$I$30)+(Model!$I$13*C$42)/(1+$A44)^7-Inputs!$B$25)/Inputs!$B$8</f>
        <v/>
      </c>
      <c r="D44" s="102">
        <f>(NPV($A44,Model!$C$30:$I$30)+(Model!$I$13*D$42)/(1+$A44)^7-Inputs!$B$25)/Inputs!$B$8</f>
        <v/>
      </c>
      <c r="E44" s="102">
        <f>(NPV($A44,Model!$C$30:$I$30)+(Model!$I$13*E$42)/(1+$A44)^7-Inputs!$B$25)/Inputs!$B$8</f>
        <v/>
      </c>
      <c r="F44" s="102">
        <f>(NPV($A44,Model!$C$30:$I$30)+(Model!$I$13*F$42)/(1+$A44)^7-Inputs!$B$25)/Inputs!$B$8</f>
        <v/>
      </c>
    </row>
    <row r="45" ht="14.25" customHeight="1" s="67">
      <c r="A45" s="101">
        <f>Inputs!$B$39</f>
        <v/>
      </c>
      <c r="B45" s="102">
        <f>(NPV($A45,Model!$C$30:$I$30)+(Model!$I$13*B$42)/(1+$A45)^7-Inputs!$B$25)/Inputs!$B$8</f>
        <v/>
      </c>
      <c r="C45" s="102">
        <f>(NPV($A45,Model!$C$30:$I$30)+(Model!$I$13*C$42)/(1+$A45)^7-Inputs!$B$25)/Inputs!$B$8</f>
        <v/>
      </c>
      <c r="D45" s="102">
        <f>(NPV($A45,Model!$C$30:$I$30)+(Model!$I$13*D$42)/(1+$A45)^7-Inputs!$B$25)/Inputs!$B$8</f>
        <v/>
      </c>
      <c r="E45" s="102">
        <f>(NPV($A45,Model!$C$30:$I$30)+(Model!$I$13*E$42)/(1+$A45)^7-Inputs!$B$25)/Inputs!$B$8</f>
        <v/>
      </c>
      <c r="F45" s="102">
        <f>(NPV($A45,Model!$C$30:$I$30)+(Model!$I$13*F$42)/(1+$A45)^7-Inputs!$B$25)/Inputs!$B$8</f>
        <v/>
      </c>
    </row>
    <row r="46" ht="14.25" customHeight="1" s="67">
      <c r="A46" s="101">
        <f>Inputs!$B$39+0.01</f>
        <v/>
      </c>
      <c r="B46" s="102">
        <f>(NPV($A46,Model!$C$30:$I$30)+(Model!$I$13*B$42)/(1+$A46)^7-Inputs!$B$25)/Inputs!$B$8</f>
        <v/>
      </c>
      <c r="C46" s="102">
        <f>(NPV($A46,Model!$C$30:$I$30)+(Model!$I$13*C$42)/(1+$A46)^7-Inputs!$B$25)/Inputs!$B$8</f>
        <v/>
      </c>
      <c r="D46" s="102">
        <f>(NPV($A46,Model!$C$30:$I$30)+(Model!$I$13*D$42)/(1+$A46)^7-Inputs!$B$25)/Inputs!$B$8</f>
        <v/>
      </c>
      <c r="E46" s="102">
        <f>(NPV($A46,Model!$C$30:$I$30)+(Model!$I$13*E$42)/(1+$A46)^7-Inputs!$B$25)/Inputs!$B$8</f>
        <v/>
      </c>
      <c r="F46" s="102">
        <f>(NPV($A46,Model!$C$30:$I$30)+(Model!$I$13*F$42)/(1+$A46)^7-Inputs!$B$25)/Inputs!$B$8</f>
        <v/>
      </c>
    </row>
    <row r="47" ht="14.25" customHeight="1" s="67">
      <c r="A47" s="101">
        <f>Inputs!$B$39+0.02</f>
        <v/>
      </c>
      <c r="B47" s="102">
        <f>(NPV($A47,Model!$C$30:$I$30)+(Model!$I$13*B$42)/(1+$A47)^7-Inputs!$B$25)/Inputs!$B$8</f>
        <v/>
      </c>
      <c r="C47" s="102">
        <f>(NPV($A47,Model!$C$30:$I$30)+(Model!$I$13*C$42)/(1+$A47)^7-Inputs!$B$25)/Inputs!$B$8</f>
        <v/>
      </c>
      <c r="D47" s="102">
        <f>(NPV($A47,Model!$C$30:$I$30)+(Model!$I$13*D$42)/(1+$A47)^7-Inputs!$B$25)/Inputs!$B$8</f>
        <v/>
      </c>
      <c r="E47" s="102">
        <f>(NPV($A47,Model!$C$30:$I$30)+(Model!$I$13*E$42)/(1+$A47)^7-Inputs!$B$25)/Inputs!$B$8</f>
        <v/>
      </c>
      <c r="F47" s="102">
        <f>(NPV($A47,Model!$C$30:$I$30)+(Model!$I$13*F$42)/(1+$A47)^7-Inputs!$B$25)/Inputs!$B$8</f>
        <v/>
      </c>
    </row>
    <row r="48" ht="14.25" customHeight="1" s="67">
      <c r="A48" s="75" t="inlineStr">
        <is>
          <t>Cross-check: exit EV/EBITDA implied by Gordon TV (FY33E)</t>
        </is>
      </c>
      <c r="B48" s="104">
        <f>Model!C157/Model!I127</f>
        <v/>
      </c>
      <c r="C48" s="104">
        <f>Model!C43/Model!I13</f>
        <v/>
      </c>
      <c r="D48" s="104">
        <f>Model!C100/Model!I70</f>
        <v/>
      </c>
    </row>
    <row r="49" ht="14.25" customHeight="1" s="67">
      <c r="A49" s="75" t="inlineStr">
        <is>
          <t>Cross-check: perpetual growth implied by exit-multiple TV</t>
        </is>
      </c>
      <c r="B49" s="105">
        <f>(Model!C159*Inputs!$B$39-Model!I144)/(Model!C159+Model!I144)</f>
        <v/>
      </c>
      <c r="C49" s="105">
        <f>(Model!C45*Inputs!$B$39-Model!I30)/(Model!C45+Model!I30)</f>
        <v/>
      </c>
      <c r="D49" s="105">
        <f>(Model!C102*Inputs!$B$39-Model!I87)/(Model!C102+Model!I87)</f>
        <v/>
      </c>
    </row>
    <row r="50" ht="18" customHeight="1" s="67">
      <c r="A50" s="87" t="inlineStr">
        <is>
          <t>E.  CHARTS</t>
        </is>
      </c>
      <c r="B50" s="87" t="n"/>
      <c r="C50" s="87" t="n"/>
      <c r="D50" s="87" t="n"/>
      <c r="E50" s="87" t="n"/>
      <c r="F50" s="87" t="n"/>
      <c r="G50" s="87" t="n"/>
    </row>
    <row r="115" ht="18" customHeight="1" s="67">
      <c r="A115" s="87" t="inlineStr">
        <is>
          <t>F.  KEY POINTS</t>
        </is>
      </c>
      <c r="B115" s="87" t="n"/>
      <c r="C115" s="87" t="n"/>
      <c r="D115" s="87" t="n"/>
      <c r="E115" s="87" t="n"/>
      <c r="F115" s="87" t="n"/>
      <c r="G115" s="87" t="n"/>
    </row>
    <row r="116" ht="27.75" customHeight="1" s="67">
      <c r="A116" s="73" t="inlineStr">
        <is>
          <t>•</t>
        </is>
      </c>
      <c r="B116" s="106" t="inlineStr">
        <is>
          <t>FY26A revenue rose from ₹20,243 Cr to ₹54,364 Cr, helped by Blinkit’s dark-store expansion and the shift toward gross revenue recognition. I have not carried that step-change forward; growth moderates across the forecast period.</t>
        </is>
      </c>
    </row>
    <row r="117" ht="27.75" customHeight="1" s="67">
      <c r="A117" s="73" t="inlineStr">
        <is>
          <t>•</t>
        </is>
      </c>
      <c r="B117" s="106" t="inlineStr">
        <is>
          <t>The margin build is driven by four operating levers: materials, employee costs, delivery and logistics, and marketing/other opex. Each driver is shown separately on the Inputs sheet.</t>
        </is>
      </c>
    </row>
    <row r="118" ht="27.75" customHeight="1" s="67">
      <c r="A118" s="73" t="inlineStr">
        <is>
          <t>•</t>
        </is>
      </c>
      <c r="B118" s="106" t="inlineStr">
        <is>
          <t>Base-case FCFF is negative in FY27E as capex and taxes outrun the D&amp;A add-back, then turns positive from FY28E. The valuation is terminal-value-heavy: the PV of the Gordon Growth terminal value is roughly 2.5x the PV of the explicit FCFF in the Base case.</t>
        </is>
      </c>
    </row>
    <row r="119" ht="27.75" customHeight="1" s="67">
      <c r="A119" s="73" t="inlineStr">
        <is>
          <t>•</t>
        </is>
      </c>
      <c r="B119" s="106" t="inlineStr">
        <is>
          <t>Both terminal-value methods land below the current share price in the Bear and Base cases. Only the Bull-case exit-multiple value of about ₹320 approaches the ₹335.50 market price. The two methods also disagree with each other: Gordon Growth implies roughly 5x FY33E EBITDA, while the assumed exit multiples imply roughly 11-13% perpetual growth (see rows 48-49). Read together, the market appears to be pricing a stronger path than even this model's Bull case, or a materially lower discount rate.</t>
        </is>
      </c>
    </row>
    <row r="120" ht="27.75" customHeight="1" s="67">
      <c r="A120" s="73" t="inlineStr">
        <is>
          <t>•</t>
        </is>
      </c>
      <c r="B120" s="106" t="inlineStr">
        <is>
          <t>Eternal is close to net cash at FY26A, so WACC is driven mainly by the cost of equity; capital structure has limited effect on the result. The D&amp;A schedule runs off a depreciable base of ₹7,074 Cr (PP&amp;E, CWIP, other intangibles and right-of-use lease assets), excluding ₹5,737 Cr of goodwill, which is not depreciated under Ind AS.</t>
        </is>
      </c>
    </row>
    <row r="121" ht="27.75" customHeight="1" s="67">
      <c r="A121" s="73" t="inlineStr">
        <is>
          <t>•</t>
        </is>
      </c>
      <c r="B121" s="106" t="inlineStr">
        <is>
          <t>The sensitivity tables use live NPV and terminal-value formulas rather than Excel data tables, so they update automatically when the underlying assumptions change.</t>
        </is>
      </c>
    </row>
  </sheetData>
  <mergeCells count="10">
    <mergeCell ref="B120:G120"/>
    <mergeCell ref="B117:G117"/>
    <mergeCell ref="A1:G1"/>
    <mergeCell ref="B121:G121"/>
    <mergeCell ref="A31:G31"/>
    <mergeCell ref="B118:G118"/>
    <mergeCell ref="A2:A3"/>
    <mergeCell ref="B119:G119"/>
    <mergeCell ref="A41:G41"/>
    <mergeCell ref="B116:G1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A1:K82"/>
  <sheetViews>
    <sheetView showFormulas="0" showGridLines="0" showRowColHeaders="1" showZeros="1" rightToLeft="0" tabSelected="0" showOutlineSymbols="1" defaultGridColor="1" view="normal" topLeftCell="C49" colorId="64" zoomScale="90" zoomScaleNormal="90" zoomScalePageLayoutView="100" workbookViewId="0">
      <selection pane="topLeft" activeCell="K63" activeCellId="0" sqref="K63"/>
    </sheetView>
  </sheetViews>
  <sheetFormatPr baseColWidth="8" defaultColWidth="8.6328125" defaultRowHeight="14.25" zeroHeight="0" outlineLevelRow="0"/>
  <cols>
    <col width="46" customWidth="1" style="66" min="1" max="1"/>
    <col width="11" customWidth="1" style="66" min="2" max="9"/>
    <col width="2" customWidth="1" style="66" min="10" max="10"/>
    <col width="52" customWidth="1" style="66" min="11" max="11"/>
  </cols>
  <sheetData>
    <row r="1" ht="21.75" customHeight="1" s="67">
      <c r="A1" s="81" t="inlineStr">
        <is>
          <t>ETERNAL LTD (ZOMATO) — DCF MODEL: INPUT ASSUMPTIONS  (₹ Crore unless stated)</t>
        </is>
      </c>
    </row>
    <row r="3" ht="18" customHeight="1" s="67">
      <c r="A3" s="87" t="inlineStr">
        <is>
          <t>1.  COMPANY &amp; MARKET DATA</t>
        </is>
      </c>
      <c r="B3" s="87" t="n"/>
      <c r="C3" s="87" t="n"/>
      <c r="D3" s="87" t="n"/>
      <c r="E3" s="87" t="n"/>
      <c r="F3" s="87" t="n"/>
      <c r="G3" s="87" t="n"/>
      <c r="H3" s="87" t="n"/>
      <c r="I3" s="87" t="n"/>
    </row>
    <row r="4" ht="14.25" customHeight="1" s="67">
      <c r="A4" s="75" t="inlineStr">
        <is>
          <t>Company name</t>
        </is>
      </c>
      <c r="B4" s="75" t="inlineStr">
        <is>
          <t>Eternal Limited (formerly Zomato Limited)</t>
        </is>
      </c>
    </row>
    <row r="5" ht="14.25" customHeight="1" s="67">
      <c r="A5" s="75" t="inlineStr">
        <is>
          <t>Ticker (NSE / BSE)</t>
        </is>
      </c>
      <c r="B5" s="75" t="inlineStr">
        <is>
          <t>ETERNAL / 543320</t>
        </is>
      </c>
    </row>
    <row r="6" ht="14.25" customHeight="1" s="67">
      <c r="A6" s="75" t="inlineStr">
        <is>
          <t>Valuation date</t>
        </is>
      </c>
      <c r="B6" s="75" t="inlineStr">
        <is>
          <t>24-Sep-2026</t>
        </is>
      </c>
    </row>
    <row r="7" ht="14.25" customHeight="1" s="67">
      <c r="A7" s="75" t="inlineStr">
        <is>
          <t>Current share price (₹)</t>
        </is>
      </c>
      <c r="B7" s="107" t="n">
        <v>335.5</v>
      </c>
      <c r="K7" s="79" t="inlineStr">
        <is>
          <t>Source: NSE/BSE quote, 24-Sep-2026 (Screener.in).</t>
        </is>
      </c>
    </row>
    <row r="8" ht="24" customHeight="1" s="67">
      <c r="A8" s="75" t="inlineStr">
        <is>
          <t>Diluted shares outstanding (Cr)</t>
        </is>
      </c>
      <c r="B8" s="108" t="n">
        <v>920</v>
      </c>
      <c r="K8" s="79" t="inlineStr">
        <is>
          <t>Diluted shares ≈ Equity share capital ₹919 Cr / face value ₹1 (FY26 balance sheet, Screener.in).</t>
        </is>
      </c>
    </row>
    <row r="9" ht="14.25" customHeight="1" s="67">
      <c r="A9" s="75" t="inlineStr">
        <is>
          <t>Market capitalization (₹ Cr)</t>
        </is>
      </c>
      <c r="B9" s="92">
        <f>B7*B8</f>
        <v/>
      </c>
    </row>
    <row r="11" ht="18" customHeight="1" s="67">
      <c r="A11" s="87" t="inlineStr">
        <is>
          <t>2. BASE YEAR (FY26A) ACTUALS — Source: Eternal FY26 audited consolidated financial statements</t>
        </is>
      </c>
      <c r="B11" s="87" t="n"/>
      <c r="C11" s="87" t="n"/>
      <c r="D11" s="87" t="n"/>
      <c r="E11" s="87" t="n"/>
      <c r="F11" s="87" t="n"/>
      <c r="G11" s="87" t="n"/>
      <c r="H11" s="87" t="n"/>
      <c r="I11" s="87" t="n"/>
    </row>
    <row r="12" ht="48" customHeight="1" s="67">
      <c r="A12" s="75" t="inlineStr">
        <is>
          <t>Revenue from operations FY26A (₹ Cr)</t>
        </is>
      </c>
      <c r="B12" s="109" t="n">
        <v>54364</v>
      </c>
      <c r="K12" s="79" t="inlineStr">
        <is>
          <t>FY25A→FY26A revenue +168.6% YoY, driven by Blinkit quick-commerce dark-store scale-up and gross revenue recognition on the inventory-led model. Source: Eternal FY25 Annual Report (Medianama); Screener.in FY26 P&amp;L.</t>
        </is>
      </c>
    </row>
    <row r="13" ht="24" customHeight="1" s="67">
      <c r="A13" s="75" t="inlineStr">
        <is>
          <t>EBITDA (Adjusted operating profit) FY26A (₹ Cr)</t>
        </is>
      </c>
      <c r="B13" s="109" t="n">
        <v>1208</v>
      </c>
      <c r="K13" s="79" t="inlineStr">
        <is>
          <t>'Operating Profit' per Screener.in = EBITDA (before D&amp;A, interest, other income).</t>
        </is>
      </c>
    </row>
    <row r="14" ht="14.25" customHeight="1" s="67">
      <c r="A14" s="75" t="inlineStr">
        <is>
          <t>EBITDA margin FY26A</t>
        </is>
      </c>
      <c r="B14" s="93">
        <f>B13/B12</f>
        <v/>
      </c>
    </row>
    <row r="15" ht="14.25" customHeight="1" s="67">
      <c r="A15" s="75" t="inlineStr">
        <is>
          <t>Depreciation &amp; amortization FY26A (₹ Cr)</t>
        </is>
      </c>
      <c r="B15" s="109" t="n">
        <v>1597</v>
      </c>
    </row>
    <row r="16" ht="14.25" customHeight="1" s="67">
      <c r="A16" s="75" t="inlineStr">
        <is>
          <t>EBIT FY26A (₹ Cr)</t>
        </is>
      </c>
      <c r="B16" s="92">
        <f>B13-B15</f>
        <v/>
      </c>
    </row>
    <row r="17" ht="14.25" customHeight="1" s="67">
      <c r="A17" s="75" t="inlineStr">
        <is>
          <t>Other income FY26A (₹ Cr)</t>
        </is>
      </c>
      <c r="B17" s="109" t="n">
        <v>1396</v>
      </c>
    </row>
    <row r="18" ht="14.25" customHeight="1" s="67">
      <c r="A18" s="75" t="inlineStr">
        <is>
          <t>Interest expense FY26A (₹ Cr)</t>
        </is>
      </c>
      <c r="B18" s="109" t="n">
        <v>392</v>
      </c>
    </row>
    <row r="19" ht="14.25" customHeight="1" s="67">
      <c r="A19" s="75" t="inlineStr">
        <is>
          <t>Profit before tax FY26A (₹ Cr)</t>
        </is>
      </c>
      <c r="B19" s="92">
        <f>B16+B17-B18</f>
        <v/>
      </c>
    </row>
    <row r="20" ht="24" customHeight="1" s="67">
      <c r="A20" s="75" t="inlineStr">
        <is>
          <t>Effective tax rate FY26A</t>
        </is>
      </c>
      <c r="B20" s="110" t="n">
        <v>0.4</v>
      </c>
      <c r="K20" s="79" t="inlineStr">
        <is>
          <t>Elevated vs. statutory rate due to MAT/DTA true-ups; expected to normalize — see Section 4.</t>
        </is>
      </c>
    </row>
    <row r="21" ht="14.25" customHeight="1" s="67">
      <c r="A21" s="75" t="inlineStr">
        <is>
          <t>Net profit FY26A (₹ Cr)</t>
        </is>
      </c>
      <c r="B21" s="92">
        <f>B19*(1-B20)</f>
        <v/>
      </c>
    </row>
    <row r="22" ht="14.25" customHeight="1" s="67">
      <c r="A22" s="75" t="inlineStr">
        <is>
          <t>Depreciable net block: PP&amp;E + CWIP + intangibles + ROU assets, FY26A (₹ Cr)</t>
        </is>
      </c>
      <c r="B22" s="109" t="n">
        <v>7074</v>
      </c>
      <c r="K22" s="79" t="inlineStr">
        <is>
          <t>Net PP&amp;E ₹2,033 Cr + CWIP ₹136 Cr + other intangibles ₹611 Cr + right-of-use (lease) assets ₹4,294 Cr = ₹7,074 Cr. Excludes goodwill of ₹5,737 Cr, which is not depreciated under Ind AS (tested for impairment only). The ₹12,811 Cr 'Fixed Assets' figure on Screener-style summaries bundles all five of these items including goodwill — using it as the D&amp;A base overstates depreciation, the tax shield, and FCFF.</t>
        </is>
      </c>
    </row>
    <row r="23" ht="14.25" customHeight="1" s="67">
      <c r="A23" s="75" t="inlineStr">
        <is>
          <t>Total borrowings / lease liabilities FY26A (₹ Cr)</t>
        </is>
      </c>
      <c r="B23" s="109" t="n">
        <v>4592</v>
      </c>
      <c r="K23" s="79" t="inlineStr">
        <is>
          <t>~almost debt-free; D/E ≈0.11, mainly Ind AS 116 lease liabilities.</t>
        </is>
      </c>
    </row>
    <row r="24" ht="24" customHeight="1" s="67">
      <c r="A24" s="75" t="inlineStr">
        <is>
          <t>Liquid investments + cash/bank balances FY26A (₹ Cr)</t>
        </is>
      </c>
      <c r="B24" s="109" t="n">
        <v>16356</v>
      </c>
      <c r="K24" s="79" t="inlineStr">
        <is>
          <t>Proxy for cash-like treasury (liquid investments); company holds net cash.</t>
        </is>
      </c>
    </row>
    <row r="25" ht="14.25" customHeight="1" s="67">
      <c r="A25" s="75" t="inlineStr">
        <is>
          <t>Net debt / (net cash) FY26A (₹ Cr)</t>
        </is>
      </c>
      <c r="B25" s="92">
        <f>B23-B24</f>
        <v/>
      </c>
    </row>
    <row r="26" ht="21.75" customHeight="1" s="67">
      <c r="A26" s="75" t="inlineStr">
        <is>
          <t>Memo: Goodwill FY26A (₹ Cr, not depreciated — held at cost, tested for impairment)</t>
        </is>
      </c>
      <c r="B26" s="74" t="n">
        <v>5737</v>
      </c>
      <c r="K26" s="79" t="inlineStr">
        <is>
          <t>Memo only. Excluded from the D&amp;A schedule and from the depreciable net block in B22.</t>
        </is>
      </c>
    </row>
    <row r="27" ht="18" customHeight="1" s="67">
      <c r="A27" s="87" t="inlineStr">
        <is>
          <t>3.  WEIGHTED AVERAGE COST OF CAPITAL (WACC)</t>
        </is>
      </c>
      <c r="B27" s="87" t="n"/>
      <c r="C27" s="87" t="n"/>
      <c r="D27" s="87" t="n"/>
      <c r="E27" s="87" t="n"/>
      <c r="F27" s="87" t="n"/>
      <c r="G27" s="87" t="n"/>
      <c r="H27" s="87" t="n"/>
      <c r="I27" s="87" t="n"/>
    </row>
    <row r="28" ht="14.25" customHeight="1" s="67">
      <c r="A28" s="75" t="inlineStr">
        <is>
          <t>Risk-free rate — India 10Y G-Sec yield on 24-Sep-2026</t>
        </is>
      </c>
      <c r="B28" s="110" t="n">
        <v>0.07111000000000001</v>
      </c>
      <c r="K28" s="79" t="inlineStr">
        <is>
          <t>Approx. India 10-year G-Sec yield, 2026.</t>
        </is>
      </c>
    </row>
    <row r="29" ht="24" customHeight="1" s="67">
      <c r="A29" s="75" t="inlineStr">
        <is>
          <t>Equity risk premium — India (Damodaran Jan-2026)</t>
        </is>
      </c>
      <c r="B29" s="110" t="n">
        <v>0.0708</v>
      </c>
      <c r="K29" s="79" t="inlineStr">
        <is>
          <t>Approx. India country equity risk premium (Damodaran-style estimate).</t>
        </is>
      </c>
    </row>
    <row r="30" ht="36" customHeight="1" s="67">
      <c r="A30" s="75" t="inlineStr">
        <is>
          <t>Levered beta — 1-year observed market beta (Sep-2026)</t>
        </is>
      </c>
      <c r="B30" s="111" t="n">
        <v>1.36</v>
      </c>
      <c r="K30" s="79" t="inlineStr">
        <is>
          <t>Estimated for a high-growth, thin-margin consumer-internet platform; no long clean trading history post-2021 IPO, so proxied off global on-demand delivery/e-commerce peers (typically 1.2–1.5x).</t>
        </is>
      </c>
    </row>
    <row r="31" ht="14.25" customHeight="1" s="67">
      <c r="A31" s="75" t="inlineStr">
        <is>
          <t>Cost of equity (CAPM) = Rf + β × ERP</t>
        </is>
      </c>
      <c r="B31" s="93">
        <f>B28+B30*B29</f>
        <v/>
      </c>
    </row>
    <row r="32" ht="24" customHeight="1" s="67">
      <c r="A32" s="75" t="inlineStr">
        <is>
          <t>Pre-tax cost of debt — modeled at 8.5%</t>
        </is>
      </c>
      <c r="B32" s="110" t="n">
        <v>0.08500000000000001</v>
      </c>
      <c r="K32" s="79" t="inlineStr">
        <is>
          <t>Approx. cost on India corporate/lease borrowings given the rate environment.</t>
        </is>
      </c>
    </row>
    <row r="33" ht="14.25" customHeight="1" s="67">
      <c r="A33" s="75" t="inlineStr">
        <is>
          <t>Tax rate for WACC (statutory, concessional regime)</t>
        </is>
      </c>
      <c r="B33" s="110" t="n">
        <v>0.252</v>
      </c>
      <c r="K33" s="79" t="inlineStr">
        <is>
          <t>Indian domestic company rate under Sec. 115BAA ≈25.17%.</t>
        </is>
      </c>
    </row>
    <row r="34" ht="14.25" customHeight="1" s="67">
      <c r="A34" s="75" t="inlineStr">
        <is>
          <t>After-tax cost of debt</t>
        </is>
      </c>
      <c r="B34" s="93">
        <f>B32*(1-B33)</f>
        <v/>
      </c>
    </row>
    <row r="35" ht="14.25" customHeight="1" s="67">
      <c r="A35" s="75" t="inlineStr">
        <is>
          <t>Market value of equity (₹ Cr)</t>
        </is>
      </c>
      <c r="B35" s="92">
        <f>B9</f>
        <v/>
      </c>
    </row>
    <row r="36" ht="14.25" customHeight="1" s="67">
      <c r="A36" s="75" t="inlineStr">
        <is>
          <t>Market value of debt (₹ Cr)</t>
        </is>
      </c>
      <c r="B36" s="92">
        <f>B23</f>
        <v/>
      </c>
    </row>
    <row r="37" ht="14.25" customHeight="1" s="67">
      <c r="A37" s="75" t="inlineStr">
        <is>
          <t>Weight of equity</t>
        </is>
      </c>
      <c r="B37" s="93">
        <f>B35/(B35+B36)</f>
        <v/>
      </c>
    </row>
    <row r="38" ht="14.25" customHeight="1" s="67">
      <c r="A38" s="75" t="inlineStr">
        <is>
          <t>Weight of debt</t>
        </is>
      </c>
      <c r="B38" s="93">
        <f>B36/(B35+B36)</f>
        <v/>
      </c>
    </row>
    <row r="39" ht="14.25" customHeight="1" s="67">
      <c r="A39" s="73" t="inlineStr">
        <is>
          <t>WACC = We×Ke + Wd×Kd×(1-t)</t>
        </is>
      </c>
      <c r="B39" s="112">
        <f>B37*B31+B38*B34</f>
        <v/>
      </c>
    </row>
    <row r="41" ht="18" customHeight="1" s="67">
      <c r="A41" s="87" t="inlineStr">
        <is>
          <t>4.  SHARED OPERATING ASSUMPTIONS  (accounting / financing drivers — held constant across scenarios)</t>
        </is>
      </c>
      <c r="B41" s="87" t="n"/>
      <c r="C41" s="87" t="n"/>
      <c r="D41" s="87" t="n"/>
      <c r="E41" s="87" t="n"/>
      <c r="F41" s="87" t="n"/>
      <c r="G41" s="87" t="n"/>
      <c r="H41" s="87" t="n"/>
      <c r="I41" s="87" t="n"/>
    </row>
    <row r="42" ht="14.25" customHeight="1" s="67">
      <c r="A42" s="73" t="inlineStr">
        <is>
          <t>Driver</t>
        </is>
      </c>
      <c r="C42" s="90" t="inlineStr">
        <is>
          <t>FY27E</t>
        </is>
      </c>
      <c r="D42" s="90" t="inlineStr">
        <is>
          <t>FY28E</t>
        </is>
      </c>
      <c r="E42" s="90" t="inlineStr">
        <is>
          <t>FY29E</t>
        </is>
      </c>
      <c r="F42" s="90" t="inlineStr">
        <is>
          <t>FY30E</t>
        </is>
      </c>
      <c r="G42" s="90" t="inlineStr">
        <is>
          <t>FY31E</t>
        </is>
      </c>
      <c r="H42" s="90" t="inlineStr">
        <is>
          <t>FY32E</t>
        </is>
      </c>
      <c r="I42" s="90" t="inlineStr">
        <is>
          <t>FY33E</t>
        </is>
      </c>
    </row>
    <row r="43" ht="48" customHeight="1" s="67">
      <c r="A43" s="75" t="inlineStr">
        <is>
          <t>Depreciation rate (% of opening net block)</t>
        </is>
      </c>
      <c r="C43" s="110" t="n">
        <v>0.15</v>
      </c>
      <c r="D43" s="110" t="n">
        <v>0.15</v>
      </c>
      <c r="E43" s="110" t="n">
        <v>0.15</v>
      </c>
      <c r="F43" s="110" t="n">
        <v>0.15</v>
      </c>
      <c r="G43" s="110" t="n">
        <v>0.15</v>
      </c>
      <c r="H43" s="110" t="n">
        <v>0.15</v>
      </c>
      <c r="I43" s="110" t="n">
        <v>0.15</v>
      </c>
      <c r="K43" s="79" t="inlineStr">
        <is>
          <t>Uses a 15% depreciation rate on opening net block as a simple blended assumption for dark stores, leasehold improvements, and IT assets. The rate is broadly consistent with FY26A D&amp;A relative to the prior-year asset base.</t>
        </is>
      </c>
    </row>
    <row r="44" ht="36" customHeight="1" s="67">
      <c r="A44" s="75" t="inlineStr">
        <is>
          <t>Net working capital (% of revenue) — 2.0% due inventory-led quick commerce</t>
        </is>
      </c>
      <c r="C44" s="110" t="n">
        <v>0.02</v>
      </c>
      <c r="D44" s="110" t="n">
        <v>0.02</v>
      </c>
      <c r="E44" s="110" t="n">
        <v>0.02</v>
      </c>
      <c r="F44" s="110" t="n">
        <v>0.02</v>
      </c>
      <c r="G44" s="110" t="n">
        <v>0.02</v>
      </c>
      <c r="H44" s="110" t="n">
        <v>0.02</v>
      </c>
      <c r="I44" s="110" t="n">
        <v>0.02</v>
      </c>
      <c r="K44" s="79" t="inlineStr">
        <is>
          <t>Keeps NWC at 2.0% of revenue. This is a simple assumption for a business with a low or near-neutral cash conversion cycle.</t>
        </is>
      </c>
    </row>
    <row r="45" ht="60" customHeight="1" s="67">
      <c r="A45" s="75" t="inlineStr">
        <is>
          <t>Effective tax rate</t>
        </is>
      </c>
      <c r="C45" s="110" t="n">
        <v>0.3</v>
      </c>
      <c r="D45" s="110" t="n">
        <v>0.28</v>
      </c>
      <c r="E45" s="110" t="n">
        <v>0.26</v>
      </c>
      <c r="F45" s="110" t="n">
        <v>0.252</v>
      </c>
      <c r="G45" s="110" t="n">
        <v>0.252</v>
      </c>
      <c r="H45" s="110" t="n">
        <v>0.252</v>
      </c>
      <c r="I45" s="110" t="n">
        <v>0.252</v>
      </c>
      <c r="K45" s="79" t="inlineStr">
        <is>
          <t>Tax rate steps down from the FY26A effective rate of 40.0% toward the 25.2% statutory rate as one-off MAT/DTA effects normalize.</t>
        </is>
      </c>
    </row>
    <row r="46" ht="24" customHeight="1" s="67">
      <c r="A46" s="75" t="inlineStr">
        <is>
          <t>New lease/debt additions (% of capex)</t>
        </is>
      </c>
      <c r="C46" s="110" t="n">
        <v>0.2</v>
      </c>
      <c r="D46" s="110" t="n">
        <v>0.2</v>
      </c>
      <c r="E46" s="110" t="n">
        <v>0.2</v>
      </c>
      <c r="F46" s="110" t="n">
        <v>0.2</v>
      </c>
      <c r="G46" s="110" t="n">
        <v>0.2</v>
      </c>
      <c r="H46" s="110" t="n">
        <v>0.2</v>
      </c>
      <c r="I46" s="110" t="n">
        <v>0.2</v>
      </c>
      <c r="K46" s="79" t="inlineStr">
        <is>
          <t>Portion of capex capitalized as new Ind AS 116 lease liabilities for dark-store/warehouse network additions.</t>
        </is>
      </c>
    </row>
    <row r="47" ht="24" customHeight="1" s="67">
      <c r="A47" s="75" t="inlineStr">
        <is>
          <t>Debt repayment (% of opening debt)</t>
        </is>
      </c>
      <c r="C47" s="110" t="n">
        <v>0.18</v>
      </c>
      <c r="D47" s="110" t="n">
        <v>0.18</v>
      </c>
      <c r="E47" s="110" t="n">
        <v>0.18</v>
      </c>
      <c r="F47" s="110" t="n">
        <v>0.18</v>
      </c>
      <c r="G47" s="110" t="n">
        <v>0.18</v>
      </c>
      <c r="H47" s="110" t="n">
        <v>0.18</v>
      </c>
      <c r="I47" s="110" t="n">
        <v>0.18</v>
      </c>
      <c r="K47" s="79" t="inlineStr">
        <is>
          <t>Approximate average lease amortization rate on the opening lease-liability balance.</t>
        </is>
      </c>
    </row>
    <row r="49" ht="18" customHeight="1" s="67">
      <c r="A49" s="113" t="inlineStr">
        <is>
          <t>5.  SCENARIO DRIVERS — BASE CASE</t>
        </is>
      </c>
      <c r="B49" s="113" t="n"/>
      <c r="C49" s="113" t="n"/>
      <c r="D49" s="113" t="n"/>
      <c r="E49" s="113" t="n"/>
      <c r="F49" s="113" t="n"/>
      <c r="G49" s="113" t="n"/>
      <c r="H49" s="113" t="n"/>
      <c r="I49" s="113" t="n"/>
    </row>
    <row r="50" ht="14.25" customHeight="1" s="67">
      <c r="A50" s="75" t="inlineStr">
        <is>
          <t>FY27E Revenue (₹ Cr)</t>
        </is>
      </c>
      <c r="C50" s="90" t="inlineStr">
        <is>
          <t>FY27E</t>
        </is>
      </c>
      <c r="D50" s="90" t="inlineStr">
        <is>
          <t>FY28E</t>
        </is>
      </c>
      <c r="E50" s="90" t="inlineStr">
        <is>
          <t>FY29E</t>
        </is>
      </c>
      <c r="F50" s="90" t="inlineStr">
        <is>
          <t>FY30E</t>
        </is>
      </c>
      <c r="G50" s="90" t="inlineStr">
        <is>
          <t>FY31E</t>
        </is>
      </c>
      <c r="H50" s="90" t="inlineStr">
        <is>
          <t>FY32E</t>
        </is>
      </c>
      <c r="I50" s="90" t="inlineStr">
        <is>
          <t>FY33E</t>
        </is>
      </c>
    </row>
    <row r="51" ht="144" customHeight="1" s="67">
      <c r="A51" s="75" t="inlineStr">
        <is>
          <t>Bear</t>
        </is>
      </c>
      <c r="B51" s="114" t="n">
        <v>82000</v>
      </c>
      <c r="C51" s="110" t="n">
        <v>0.655507321021264</v>
      </c>
      <c r="D51" s="110" t="n">
        <v>0.3</v>
      </c>
      <c r="E51" s="110" t="n">
        <v>0.22</v>
      </c>
      <c r="F51" s="110" t="n">
        <v>0.19</v>
      </c>
      <c r="G51" s="110" t="n">
        <v>0.16</v>
      </c>
      <c r="H51" s="110" t="n">
        <v>0.14</v>
      </c>
      <c r="I51" s="110" t="n">
        <v>0.12</v>
      </c>
      <c r="K51" s="79" t="inlineStr">
        <is>
          <t>Base case: revenue growth slows from the FY26A step-up as Blinkit scales and food delivery grows at a steadier pace. EBITDA margin reaches 13.0% by FY33E through lower materials, employee, and delivery costs as a share of revenue. Capex also moderates as the network matures.</t>
        </is>
      </c>
    </row>
    <row r="52" ht="14.25" customHeight="1" s="67">
      <c r="A52" s="75" t="inlineStr">
        <is>
          <t>Base</t>
        </is>
      </c>
      <c r="B52" s="114" t="n">
        <v>90000</v>
      </c>
      <c r="C52" s="110" t="n">
        <v>0.655</v>
      </c>
      <c r="D52" s="110" t="n">
        <v>0.635</v>
      </c>
      <c r="E52" s="110" t="n">
        <v>0.615</v>
      </c>
      <c r="F52" s="110" t="n">
        <v>0.595</v>
      </c>
      <c r="G52" s="110" t="n">
        <v>0.575</v>
      </c>
      <c r="H52" s="110" t="n">
        <v>0.555</v>
      </c>
      <c r="I52" s="110" t="n">
        <v>0.535</v>
      </c>
    </row>
    <row r="53" ht="14.25" customHeight="1" s="67">
      <c r="A53" s="75" t="inlineStr">
        <is>
          <t>Bull</t>
        </is>
      </c>
      <c r="B53" s="114" t="n">
        <v>100000</v>
      </c>
      <c r="C53" s="110" t="n">
        <v>0.068</v>
      </c>
      <c r="D53" s="110" t="n">
        <v>0.066</v>
      </c>
      <c r="E53" s="110" t="n">
        <v>0.063</v>
      </c>
      <c r="F53" s="110" t="n">
        <v>0.06</v>
      </c>
      <c r="G53" s="110" t="n">
        <v>0.058</v>
      </c>
      <c r="H53" s="110" t="n">
        <v>0.055</v>
      </c>
      <c r="I53" s="110" t="n">
        <v>0.052</v>
      </c>
    </row>
    <row r="54" ht="14.25" customHeight="1" s="67">
      <c r="A54" s="75" t="inlineStr">
        <is>
          <t>Delivery &amp; logistics expense (% of revenue)</t>
        </is>
      </c>
      <c r="C54" s="110" t="n">
        <v>0.118</v>
      </c>
      <c r="D54" s="110" t="n">
        <v>0.112</v>
      </c>
      <c r="E54" s="110" t="n">
        <v>0.108</v>
      </c>
      <c r="F54" s="110" t="n">
        <v>0.105</v>
      </c>
      <c r="G54" s="110" t="n">
        <v>0.102</v>
      </c>
      <c r="H54" s="110" t="n">
        <v>0.1</v>
      </c>
      <c r="I54" s="110" t="n">
        <v>0.098</v>
      </c>
    </row>
    <row r="55" ht="14.25" customHeight="1" s="67">
      <c r="A55" s="75" t="inlineStr">
        <is>
          <t>Marketing, technology &amp; other opex (% of revenue)</t>
        </is>
      </c>
      <c r="C55" s="110" t="n">
        <v>0.114</v>
      </c>
      <c r="D55" s="110" t="n">
        <v>0.117</v>
      </c>
      <c r="E55" s="110" t="n">
        <v>0.124</v>
      </c>
      <c r="F55" s="110" t="n">
        <v>0.135</v>
      </c>
      <c r="G55" s="110" t="n">
        <v>0.15</v>
      </c>
      <c r="H55" s="110" t="n">
        <v>0.165</v>
      </c>
      <c r="I55" s="110" t="n">
        <v>0.185</v>
      </c>
    </row>
    <row r="56" ht="14.25" customHeight="1" s="67">
      <c r="A56" s="75" t="inlineStr">
        <is>
          <t>Capital expenditure (% of revenue)</t>
        </is>
      </c>
      <c r="C56" s="110" t="n">
        <v>0.045</v>
      </c>
      <c r="D56" s="110" t="n">
        <v>0.0425</v>
      </c>
      <c r="E56" s="110" t="n">
        <v>0.04</v>
      </c>
      <c r="F56" s="110" t="n">
        <v>0.0375</v>
      </c>
      <c r="G56" s="110" t="n">
        <v>0.035</v>
      </c>
      <c r="H56" s="110" t="n">
        <v>0.0325</v>
      </c>
      <c r="I56" s="110" t="n">
        <v>0.03</v>
      </c>
    </row>
    <row r="57" ht="14.25" customHeight="1" s="67">
      <c r="A57" s="75" t="inlineStr">
        <is>
          <t>Terminal growth rate (g), post FY33E</t>
        </is>
      </c>
      <c r="C57" s="110" t="n">
        <v>0.05</v>
      </c>
    </row>
    <row r="58" ht="14.25" customHeight="1" s="67">
      <c r="A58" s="75" t="inlineStr">
        <is>
          <t>Exit EV/EBITDA multiple (cross-check method)</t>
        </is>
      </c>
      <c r="C58" s="115" t="n">
        <v>14</v>
      </c>
    </row>
    <row r="61" ht="18" customHeight="1" s="67">
      <c r="A61" s="116" t="inlineStr">
        <is>
          <t>6.  SCENARIO DRIVERS — BULL CASE</t>
        </is>
      </c>
      <c r="B61" s="116" t="n"/>
      <c r="C61" s="116" t="n"/>
      <c r="D61" s="116" t="n"/>
      <c r="E61" s="116" t="n"/>
      <c r="F61" s="116" t="n"/>
      <c r="G61" s="116" t="n"/>
      <c r="H61" s="116" t="n"/>
      <c r="I61" s="116" t="n"/>
    </row>
    <row r="62" ht="14.25" customHeight="1" s="67">
      <c r="A62" s="73" t="inlineStr">
        <is>
          <t>Driver</t>
        </is>
      </c>
      <c r="C62" s="90" t="inlineStr">
        <is>
          <t>FY27E</t>
        </is>
      </c>
      <c r="D62" s="90" t="inlineStr">
        <is>
          <t>FY28E</t>
        </is>
      </c>
      <c r="E62" s="90" t="inlineStr">
        <is>
          <t>FY29E</t>
        </is>
      </c>
      <c r="F62" s="90" t="inlineStr">
        <is>
          <t>FY30E</t>
        </is>
      </c>
      <c r="G62" s="90" t="inlineStr">
        <is>
          <t>FY31E</t>
        </is>
      </c>
      <c r="H62" s="90" t="inlineStr">
        <is>
          <t>FY32E</t>
        </is>
      </c>
      <c r="I62" s="90" t="inlineStr">
        <is>
          <t>FY33E</t>
        </is>
      </c>
    </row>
    <row r="63" ht="96" customHeight="1" s="67">
      <c r="A63" s="75" t="inlineStr">
        <is>
          <t>Revenue growth % YoY</t>
        </is>
      </c>
      <c r="C63" s="110" t="n">
        <v>0.839452578912516</v>
      </c>
      <c r="D63" s="110" t="n">
        <v>0.35</v>
      </c>
      <c r="E63" s="110" t="n">
        <v>0.25</v>
      </c>
      <c r="F63" s="110" t="n">
        <v>0.21</v>
      </c>
      <c r="G63" s="110" t="n">
        <v>0.18</v>
      </c>
      <c r="H63" s="110" t="n">
        <v>0.16</v>
      </c>
      <c r="I63" s="110" t="n">
        <v>0.14</v>
      </c>
      <c r="K63" s="79" t="inlineStr">
        <is>
          <t>Bull case: Blinkit keeps gaining scale, food delivery remains resilient, and monetization improves across ads, Gold, and District. EBITDA margin reaches 14.5% by FY33E, with higher capex supporting faster dark-store expansion.</t>
        </is>
      </c>
    </row>
    <row r="64" ht="14.25" customHeight="1" s="67">
      <c r="A64" s="75" t="inlineStr">
        <is>
          <t>Cost of materials/goods consumed (% of revenue)</t>
        </is>
      </c>
      <c r="C64" s="110" t="n">
        <v>0.65</v>
      </c>
      <c r="D64" s="110" t="n">
        <v>0.625</v>
      </c>
      <c r="E64" s="110" t="n">
        <v>0.6</v>
      </c>
      <c r="F64" s="110" t="n">
        <v>0.575</v>
      </c>
      <c r="G64" s="110" t="n">
        <v>0.555</v>
      </c>
      <c r="H64" s="110" t="n">
        <v>0.535</v>
      </c>
      <c r="I64" s="110" t="n">
        <v>0.52</v>
      </c>
    </row>
    <row r="65" ht="14.25" customHeight="1" s="67">
      <c r="A65" s="75" t="inlineStr">
        <is>
          <t>Employee benefit expense (% of revenue)</t>
        </is>
      </c>
      <c r="C65" s="110" t="n">
        <v>0.066</v>
      </c>
      <c r="D65" s="110" t="n">
        <v>0.063</v>
      </c>
      <c r="E65" s="110" t="n">
        <v>0.06</v>
      </c>
      <c r="F65" s="110" t="n">
        <v>0.056</v>
      </c>
      <c r="G65" s="110" t="n">
        <v>0.053</v>
      </c>
      <c r="H65" s="110" t="n">
        <v>0.05</v>
      </c>
      <c r="I65" s="110" t="n">
        <v>0.047</v>
      </c>
    </row>
    <row r="66" ht="14.25" customHeight="1" s="67">
      <c r="A66" s="75" t="inlineStr">
        <is>
          <t>Delivery &amp; logistics expense (% of revenue)</t>
        </is>
      </c>
      <c r="C66" s="110" t="n">
        <v>0.116</v>
      </c>
      <c r="D66" s="110" t="n">
        <v>0.108</v>
      </c>
      <c r="E66" s="110" t="n">
        <v>0.103</v>
      </c>
      <c r="F66" s="110" t="n">
        <v>0.098</v>
      </c>
      <c r="G66" s="110" t="n">
        <v>0.094</v>
      </c>
      <c r="H66" s="110" t="n">
        <v>0.09</v>
      </c>
      <c r="I66" s="110" t="n">
        <v>0.08799999999999999</v>
      </c>
    </row>
    <row r="67" ht="14.25" customHeight="1" s="67">
      <c r="A67" s="75" t="inlineStr">
        <is>
          <t>Marketing, technology &amp; other opex (% of revenue)</t>
        </is>
      </c>
      <c r="C67" s="110" t="n">
        <v>0.118</v>
      </c>
      <c r="D67" s="110" t="n">
        <v>0.124</v>
      </c>
      <c r="E67" s="110" t="n">
        <v>0.132</v>
      </c>
      <c r="F67" s="110" t="n">
        <v>0.151</v>
      </c>
      <c r="G67" s="110" t="n">
        <v>0.168</v>
      </c>
      <c r="H67" s="110" t="n">
        <v>0.185</v>
      </c>
      <c r="I67" s="110" t="n">
        <v>0.2</v>
      </c>
    </row>
    <row r="68" ht="14.25" customHeight="1" s="67">
      <c r="A68" s="75" t="inlineStr">
        <is>
          <t>Capital expenditure (% of revenue)</t>
        </is>
      </c>
      <c r="C68" s="110" t="n">
        <v>0.05</v>
      </c>
      <c r="D68" s="110" t="n">
        <v>0.0475</v>
      </c>
      <c r="E68" s="110" t="n">
        <v>0.045</v>
      </c>
      <c r="F68" s="110" t="n">
        <v>0.0425</v>
      </c>
      <c r="G68" s="110" t="n">
        <v>0.04</v>
      </c>
      <c r="H68" s="110" t="n">
        <v>0.0375</v>
      </c>
      <c r="I68" s="110" t="n">
        <v>0.035</v>
      </c>
    </row>
    <row r="69" ht="14.25" customHeight="1" s="67">
      <c r="A69" s="75" t="inlineStr">
        <is>
          <t>Terminal growth rate (g), post FY33E</t>
        </is>
      </c>
      <c r="C69" s="110" t="n">
        <v>0.055</v>
      </c>
    </row>
    <row r="70" ht="14.25" customHeight="1" s="67">
      <c r="A70" s="75" t="inlineStr">
        <is>
          <t>Exit EV/EBITDA multiple (cross-check method)</t>
        </is>
      </c>
      <c r="C70" s="115" t="n">
        <v>16</v>
      </c>
    </row>
    <row r="73" ht="18" customHeight="1" s="67">
      <c r="A73" s="117" t="inlineStr">
        <is>
          <t>7.  SCENARIO DRIVERS — BEAR CASE</t>
        </is>
      </c>
      <c r="B73" s="117" t="n"/>
      <c r="C73" s="117" t="n"/>
      <c r="D73" s="117" t="n"/>
      <c r="E73" s="117" t="n"/>
      <c r="F73" s="117" t="n"/>
      <c r="G73" s="117" t="n"/>
      <c r="H73" s="117" t="n"/>
      <c r="I73" s="117" t="n"/>
    </row>
    <row r="74" ht="14.25" customHeight="1" s="67">
      <c r="A74" s="73" t="inlineStr">
        <is>
          <t>Driver</t>
        </is>
      </c>
      <c r="C74" s="90" t="inlineStr">
        <is>
          <t>FY27E</t>
        </is>
      </c>
      <c r="D74" s="90" t="inlineStr">
        <is>
          <t>FY28E</t>
        </is>
      </c>
      <c r="E74" s="90" t="inlineStr">
        <is>
          <t>FY29E</t>
        </is>
      </c>
      <c r="F74" s="90" t="inlineStr">
        <is>
          <t>FY30E</t>
        </is>
      </c>
      <c r="G74" s="90" t="inlineStr">
        <is>
          <t>FY31E</t>
        </is>
      </c>
      <c r="H74" s="90" t="inlineStr">
        <is>
          <t>FY32E</t>
        </is>
      </c>
      <c r="I74" s="90" t="inlineStr">
        <is>
          <t>FY33E</t>
        </is>
      </c>
    </row>
    <row r="75" ht="96" customHeight="1" s="67">
      <c r="A75" s="75" t="inlineStr">
        <is>
          <t>Revenue growth % YoY</t>
        </is>
      </c>
      <c r="C75" s="110" t="n">
        <v>0.508351114708263</v>
      </c>
      <c r="D75" s="110" t="n">
        <v>0.24</v>
      </c>
      <c r="E75" s="110" t="n">
        <v>0.16</v>
      </c>
      <c r="F75" s="110" t="n">
        <v>0.14</v>
      </c>
      <c r="G75" s="110" t="n">
        <v>0.12</v>
      </c>
      <c r="H75" s="110" t="n">
        <v>0.1</v>
      </c>
      <c r="I75" s="110" t="n">
        <v>0.08</v>
      </c>
      <c r="K75" s="79" t="inlineStr">
        <is>
          <t>Bear case: competition keeps pressure on pricing and delivery costs, while quick-commerce investment takes longer to pay back. EBITDA margin reaches 10.5% by FY33E, with lower capex and more conservative terminal assumptions.</t>
        </is>
      </c>
    </row>
    <row r="76" ht="14.25" customHeight="1" s="67">
      <c r="A76" s="75" t="inlineStr">
        <is>
          <t>Cost of materials/goods consumed (% of revenue)</t>
        </is>
      </c>
      <c r="C76" s="110" t="n">
        <v>0.67</v>
      </c>
      <c r="D76" s="110" t="n">
        <v>0.66</v>
      </c>
      <c r="E76" s="110" t="n">
        <v>0.65</v>
      </c>
      <c r="F76" s="110" t="n">
        <v>0.64</v>
      </c>
      <c r="G76" s="110" t="n">
        <v>0.63</v>
      </c>
      <c r="H76" s="110" t="n">
        <v>0.62</v>
      </c>
      <c r="I76" s="110" t="n">
        <v>0.61</v>
      </c>
    </row>
    <row r="77" ht="14.25" customHeight="1" s="67">
      <c r="A77" s="75" t="inlineStr">
        <is>
          <t>Employee benefit expense (% of revenue)</t>
        </is>
      </c>
      <c r="C77" s="110" t="n">
        <v>0.073</v>
      </c>
      <c r="D77" s="110" t="n">
        <v>0.07099999999999999</v>
      </c>
      <c r="E77" s="110" t="n">
        <v>0.06900000000000001</v>
      </c>
      <c r="F77" s="110" t="n">
        <v>0.067</v>
      </c>
      <c r="G77" s="110" t="n">
        <v>0.064</v>
      </c>
      <c r="H77" s="110" t="n">
        <v>0.061</v>
      </c>
      <c r="I77" s="110" t="n">
        <v>0.058</v>
      </c>
    </row>
    <row r="78" ht="14.25" customHeight="1" s="67">
      <c r="A78" s="75" t="inlineStr">
        <is>
          <t>Delivery &amp; logistics expense (% of revenue)</t>
        </is>
      </c>
      <c r="C78" s="110" t="n">
        <v>0.123</v>
      </c>
      <c r="D78" s="110" t="n">
        <v>0.119</v>
      </c>
      <c r="E78" s="110" t="n">
        <v>0.116</v>
      </c>
      <c r="F78" s="110" t="n">
        <v>0.113</v>
      </c>
      <c r="G78" s="110" t="n">
        <v>0.11</v>
      </c>
      <c r="H78" s="110" t="n">
        <v>0.107</v>
      </c>
      <c r="I78" s="110" t="n">
        <v>0.104</v>
      </c>
    </row>
    <row r="79" ht="14.25" customHeight="1" s="67">
      <c r="A79" s="75" t="inlineStr">
        <is>
          <t>Marketing, technology &amp; other opex (% of revenue)</t>
        </is>
      </c>
      <c r="C79" s="110" t="n">
        <v>0.104</v>
      </c>
      <c r="D79" s="110" t="n">
        <v>0.105</v>
      </c>
      <c r="E79" s="110" t="n">
        <v>0.105</v>
      </c>
      <c r="F79" s="110" t="n">
        <v>0.105</v>
      </c>
      <c r="G79" s="110" t="n">
        <v>0.111</v>
      </c>
      <c r="H79" s="110" t="n">
        <v>0.117</v>
      </c>
      <c r="I79" s="110" t="n">
        <v>0.123</v>
      </c>
    </row>
    <row r="80" ht="14.25" customHeight="1" s="67">
      <c r="A80" s="75" t="inlineStr">
        <is>
          <t>Capital expenditure (% of revenue)</t>
        </is>
      </c>
      <c r="C80" s="110" t="n">
        <v>0.035</v>
      </c>
      <c r="D80" s="110" t="n">
        <v>0.0325</v>
      </c>
      <c r="E80" s="110" t="n">
        <v>0.03</v>
      </c>
      <c r="F80" s="110" t="n">
        <v>0.0275</v>
      </c>
      <c r="G80" s="110" t="n">
        <v>0.025</v>
      </c>
      <c r="H80" s="110" t="n">
        <v>0.0225</v>
      </c>
      <c r="I80" s="110" t="n">
        <v>0.02</v>
      </c>
    </row>
    <row r="81" ht="14.25" customHeight="1" s="67">
      <c r="A81" s="75" t="inlineStr">
        <is>
          <t>Terminal growth rate (g), post FY33E</t>
        </is>
      </c>
      <c r="C81" s="110" t="n">
        <v>0.045</v>
      </c>
    </row>
    <row r="82" ht="14.25" customHeight="1" s="67">
      <c r="A82" s="75" t="inlineStr">
        <is>
          <t>Exit EV/EBITDA multiple (cross-check method)</t>
        </is>
      </c>
      <c r="C82" s="115" t="n">
        <v>12</v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I171"/>
  <sheetViews>
    <sheetView showFormulas="0" showGridLines="0" showRowColHeaders="1" showZeros="1" rightToLeft="0" tabSelected="0" showOutlineSymbols="1" defaultGridColor="1" view="normal" topLeftCell="A173" colorId="64" zoomScale="90" zoomScaleNormal="90" zoomScalePageLayoutView="100" workbookViewId="0">
      <selection pane="topLeft" activeCell="F54" activeCellId="0" sqref="F54"/>
    </sheetView>
  </sheetViews>
  <sheetFormatPr baseColWidth="8" defaultColWidth="8.6328125" defaultRowHeight="14.25" zeroHeight="0" outlineLevelRow="0"/>
  <cols>
    <col width="44" customWidth="1" style="66" min="1" max="1"/>
    <col width="11" customWidth="1" style="66" min="2" max="8"/>
    <col width="14.73" customWidth="1" style="66" min="9" max="9"/>
  </cols>
  <sheetData>
    <row r="1" ht="19.5" customHeight="1" s="67">
      <c r="A1" s="81" t="inlineStr">
        <is>
          <t>ETERNAL LTD (ZOMATO) — DCF MODEL: LINKED FINANCIAL PROJECTIONS  (₹ Crore unless stated)</t>
        </is>
      </c>
    </row>
    <row r="3" ht="18" customHeight="1" s="67">
      <c r="A3" s="118" t="inlineStr">
        <is>
          <t>SCENARIO 1 OF 3  —  BASE CASE</t>
        </is>
      </c>
      <c r="B3" s="113" t="n"/>
      <c r="C3" s="113" t="n"/>
      <c r="D3" s="113" t="n"/>
      <c r="E3" s="113" t="n"/>
      <c r="F3" s="113" t="n"/>
      <c r="G3" s="113" t="n"/>
      <c r="H3" s="113" t="n"/>
      <c r="I3" s="113" t="n"/>
    </row>
    <row r="4" ht="14.25" customHeight="1" s="67">
      <c r="A4" s="73" t="inlineStr">
        <is>
          <t>Line item</t>
        </is>
      </c>
      <c r="B4" s="119" t="inlineStr">
        <is>
          <t>FY26A</t>
        </is>
      </c>
      <c r="C4" s="90" t="inlineStr">
        <is>
          <t>FY27E</t>
        </is>
      </c>
      <c r="D4" s="90" t="inlineStr">
        <is>
          <t>FY28E</t>
        </is>
      </c>
      <c r="E4" s="90" t="inlineStr">
        <is>
          <t>FY29E</t>
        </is>
      </c>
      <c r="F4" s="90" t="inlineStr">
        <is>
          <t>FY30E</t>
        </is>
      </c>
      <c r="G4" s="90" t="inlineStr">
        <is>
          <t>FY31E</t>
        </is>
      </c>
      <c r="H4" s="90" t="inlineStr">
        <is>
          <t>FY32E</t>
        </is>
      </c>
      <c r="I4" s="90" t="inlineStr">
        <is>
          <t>FY33E</t>
        </is>
      </c>
    </row>
    <row r="5" ht="14.25" customHeight="1" s="67">
      <c r="A5" s="73" t="inlineStr">
        <is>
          <t>Revenue</t>
        </is>
      </c>
      <c r="B5" s="94">
        <f>Inputs!$B$12</f>
        <v/>
      </c>
      <c r="C5" s="120">
        <f>Inputs!$B$52</f>
        <v/>
      </c>
      <c r="D5" s="94">
        <f>C5*(1+Inputs!D51)</f>
        <v/>
      </c>
      <c r="E5" s="94">
        <f>D5*(1+Inputs!E51)</f>
        <v/>
      </c>
      <c r="F5" s="94">
        <f>E5*(1+Inputs!F51)</f>
        <v/>
      </c>
      <c r="G5" s="94">
        <f>F5*(1+Inputs!G51)</f>
        <v/>
      </c>
      <c r="H5" s="94">
        <f>G5*(1+Inputs!H51)</f>
        <v/>
      </c>
      <c r="I5" s="94">
        <f>H5*(1+Inputs!I51)</f>
        <v/>
      </c>
    </row>
    <row r="6" ht="14.25" customHeight="1" s="67">
      <c r="A6" s="75" t="inlineStr">
        <is>
          <t xml:space="preserve">   Revenue growth % YoY</t>
        </is>
      </c>
      <c r="C6" s="93">
        <f>C5/B5-1</f>
        <v/>
      </c>
      <c r="D6" s="93">
        <f>Inputs!D51</f>
        <v/>
      </c>
      <c r="E6" s="93">
        <f>Inputs!E51</f>
        <v/>
      </c>
      <c r="F6" s="93">
        <f>Inputs!F51</f>
        <v/>
      </c>
      <c r="G6" s="93">
        <f>Inputs!G51</f>
        <v/>
      </c>
      <c r="H6" s="93">
        <f>Inputs!H51</f>
        <v/>
      </c>
      <c r="I6" s="93">
        <f>Inputs!I51</f>
        <v/>
      </c>
    </row>
    <row r="8" ht="14.25" customHeight="1" s="67">
      <c r="A8" s="75" t="inlineStr">
        <is>
          <t>Cost of materials/goods consumed</t>
        </is>
      </c>
      <c r="C8" s="92">
        <f>C5*Inputs!C52</f>
        <v/>
      </c>
      <c r="D8" s="92">
        <f>D5*Inputs!D52</f>
        <v/>
      </c>
      <c r="E8" s="92">
        <f>E5*Inputs!E52</f>
        <v/>
      </c>
      <c r="F8" s="92">
        <f>F5*Inputs!F52</f>
        <v/>
      </c>
      <c r="G8" s="92">
        <f>G5*Inputs!G52</f>
        <v/>
      </c>
      <c r="H8" s="92">
        <f>H5*Inputs!H52</f>
        <v/>
      </c>
      <c r="I8" s="92">
        <f>I5*Inputs!I52</f>
        <v/>
      </c>
    </row>
    <row r="9" ht="14.25" customHeight="1" s="67">
      <c r="A9" s="75" t="inlineStr">
        <is>
          <t>Employee benefit expense</t>
        </is>
      </c>
      <c r="C9" s="92">
        <f>C5*Inputs!C53</f>
        <v/>
      </c>
      <c r="D9" s="92">
        <f>D5*Inputs!D53</f>
        <v/>
      </c>
      <c r="E9" s="92">
        <f>E5*Inputs!E53</f>
        <v/>
      </c>
      <c r="F9" s="92">
        <f>F5*Inputs!F53</f>
        <v/>
      </c>
      <c r="G9" s="92">
        <f>G5*Inputs!G53</f>
        <v/>
      </c>
      <c r="H9" s="92">
        <f>H5*Inputs!H53</f>
        <v/>
      </c>
      <c r="I9" s="92">
        <f>I5*Inputs!I53</f>
        <v/>
      </c>
    </row>
    <row r="10" ht="14.25" customHeight="1" s="67">
      <c r="A10" s="75" t="inlineStr">
        <is>
          <t>Delivery &amp; logistics expense</t>
        </is>
      </c>
      <c r="C10" s="92">
        <f>C5*Inputs!C54</f>
        <v/>
      </c>
      <c r="D10" s="92">
        <f>D5*Inputs!D54</f>
        <v/>
      </c>
      <c r="E10" s="92">
        <f>E5*Inputs!E54</f>
        <v/>
      </c>
      <c r="F10" s="92">
        <f>F5*Inputs!F54</f>
        <v/>
      </c>
      <c r="G10" s="92">
        <f>G5*Inputs!G54</f>
        <v/>
      </c>
      <c r="H10" s="92">
        <f>H5*Inputs!H54</f>
        <v/>
      </c>
      <c r="I10" s="92">
        <f>I5*Inputs!I54</f>
        <v/>
      </c>
    </row>
    <row r="11" ht="14.25" customHeight="1" s="67">
      <c r="A11" s="75" t="inlineStr">
        <is>
          <t>Marketing, technology &amp; other opex</t>
        </is>
      </c>
      <c r="C11" s="92">
        <f>C5*Inputs!C55</f>
        <v/>
      </c>
      <c r="D11" s="92">
        <f>D5*Inputs!D55</f>
        <v/>
      </c>
      <c r="E11" s="92">
        <f>E5*Inputs!E55</f>
        <v/>
      </c>
      <c r="F11" s="92">
        <f>F5*Inputs!F55</f>
        <v/>
      </c>
      <c r="G11" s="92">
        <f>G5*Inputs!G55</f>
        <v/>
      </c>
      <c r="H11" s="92">
        <f>H5*Inputs!H55</f>
        <v/>
      </c>
      <c r="I11" s="92">
        <f>I5*Inputs!I55</f>
        <v/>
      </c>
    </row>
    <row r="12" ht="14.25" customHeight="1" s="67">
      <c r="A12" s="75" t="inlineStr">
        <is>
          <t>Total operating expenses</t>
        </is>
      </c>
      <c r="C12" s="92">
        <f>SUM(C8:C11)</f>
        <v/>
      </c>
      <c r="D12" s="92">
        <f>SUM(D8:D11)</f>
        <v/>
      </c>
      <c r="E12" s="92">
        <f>SUM(E8:E11)</f>
        <v/>
      </c>
      <c r="F12" s="92">
        <f>SUM(F8:F11)</f>
        <v/>
      </c>
      <c r="G12" s="92">
        <f>SUM(G8:G11)</f>
        <v/>
      </c>
      <c r="H12" s="92">
        <f>SUM(H8:H11)</f>
        <v/>
      </c>
      <c r="I12" s="92">
        <f>SUM(I8:I11)</f>
        <v/>
      </c>
    </row>
    <row r="13" ht="14.25" customHeight="1" s="67">
      <c r="A13" s="73" t="inlineStr">
        <is>
          <t>EBITDA</t>
        </is>
      </c>
      <c r="B13" s="94">
        <f>Inputs!$B$13</f>
        <v/>
      </c>
      <c r="C13" s="94">
        <f>C5-C12</f>
        <v/>
      </c>
      <c r="D13" s="94">
        <f>D5-D12</f>
        <v/>
      </c>
      <c r="E13" s="94">
        <f>E5-E12</f>
        <v/>
      </c>
      <c r="F13" s="94">
        <f>F5-F12</f>
        <v/>
      </c>
      <c r="G13" s="94">
        <f>G5-G12</f>
        <v/>
      </c>
      <c r="H13" s="94">
        <f>H5-H12</f>
        <v/>
      </c>
      <c r="I13" s="94">
        <f>I5-I12</f>
        <v/>
      </c>
    </row>
    <row r="14" ht="14.25" customHeight="1" s="67">
      <c r="A14" s="75" t="inlineStr">
        <is>
          <t xml:space="preserve">   EBITDA margin %</t>
        </is>
      </c>
      <c r="B14" s="93">
        <f>B13/B5</f>
        <v/>
      </c>
      <c r="C14" s="93">
        <f>C13/C5</f>
        <v/>
      </c>
      <c r="D14" s="93">
        <f>D13/D5</f>
        <v/>
      </c>
      <c r="E14" s="93">
        <f>E13/E5</f>
        <v/>
      </c>
      <c r="F14" s="93">
        <f>F13/F5</f>
        <v/>
      </c>
      <c r="G14" s="93">
        <f>G13/G5</f>
        <v/>
      </c>
      <c r="H14" s="93">
        <f>H13/H5</f>
        <v/>
      </c>
      <c r="I14" s="93">
        <f>I13/I5</f>
        <v/>
      </c>
    </row>
    <row r="16" ht="14.25" customHeight="1" s="67">
      <c r="A16" s="75" t="inlineStr">
        <is>
          <t>Opening net block (PP&amp;E)</t>
        </is>
      </c>
      <c r="C16" s="92">
        <f>B19</f>
        <v/>
      </c>
      <c r="D16" s="92">
        <f>C19</f>
        <v/>
      </c>
      <c r="E16" s="92">
        <f>D19</f>
        <v/>
      </c>
      <c r="F16" s="92">
        <f>E19</f>
        <v/>
      </c>
      <c r="G16" s="92">
        <f>F19</f>
        <v/>
      </c>
      <c r="H16" s="92">
        <f>G19</f>
        <v/>
      </c>
      <c r="I16" s="92">
        <f>H19</f>
        <v/>
      </c>
    </row>
    <row r="17" ht="14.25" customHeight="1" s="67">
      <c r="A17" s="75" t="inlineStr">
        <is>
          <t>Capital expenditure</t>
        </is>
      </c>
      <c r="C17" s="92">
        <f>C5*Inputs!C56</f>
        <v/>
      </c>
      <c r="D17" s="92">
        <f>D5*Inputs!D56</f>
        <v/>
      </c>
      <c r="E17" s="92">
        <f>E5*Inputs!E56</f>
        <v/>
      </c>
      <c r="F17" s="92">
        <f>F5*Inputs!F56</f>
        <v/>
      </c>
      <c r="G17" s="92">
        <f>G5*Inputs!G56</f>
        <v/>
      </c>
      <c r="H17" s="92">
        <f>H5*Inputs!H56</f>
        <v/>
      </c>
      <c r="I17" s="92">
        <f>I5*Inputs!I56</f>
        <v/>
      </c>
    </row>
    <row r="18" ht="14.25" customHeight="1" s="67">
      <c r="A18" s="75" t="inlineStr">
        <is>
          <t>Depreciation &amp; amortization</t>
        </is>
      </c>
      <c r="B18" s="92">
        <f>Inputs!$B$15</f>
        <v/>
      </c>
      <c r="C18" s="92">
        <f>C16*Inputs!C43</f>
        <v/>
      </c>
      <c r="D18" s="92">
        <f>D16*Inputs!D43</f>
        <v/>
      </c>
      <c r="E18" s="92">
        <f>E16*Inputs!E43</f>
        <v/>
      </c>
      <c r="F18" s="92">
        <f>F16*Inputs!F43</f>
        <v/>
      </c>
      <c r="G18" s="92">
        <f>G16*Inputs!G43</f>
        <v/>
      </c>
      <c r="H18" s="92">
        <f>H16*Inputs!H43</f>
        <v/>
      </c>
      <c r="I18" s="92">
        <f>I16*Inputs!I43</f>
        <v/>
      </c>
    </row>
    <row r="19" ht="14.25" customHeight="1" s="67">
      <c r="A19" s="75" t="inlineStr">
        <is>
          <t>Closing net block (PP&amp;E)</t>
        </is>
      </c>
      <c r="B19" s="92">
        <f>Inputs!$B$22</f>
        <v/>
      </c>
      <c r="C19" s="92">
        <f>C16+C17-C18</f>
        <v/>
      </c>
      <c r="D19" s="92">
        <f>D16+D17-D18</f>
        <v/>
      </c>
      <c r="E19" s="92">
        <f>E16+E17-E18</f>
        <v/>
      </c>
      <c r="F19" s="92">
        <f>F16+F17-F18</f>
        <v/>
      </c>
      <c r="G19" s="92">
        <f>G16+G17-G18</f>
        <v/>
      </c>
      <c r="H19" s="92">
        <f>H16+H17-H18</f>
        <v/>
      </c>
      <c r="I19" s="92">
        <f>I16+I17-I18</f>
        <v/>
      </c>
    </row>
    <row r="21" ht="14.25" customHeight="1" s="67">
      <c r="A21" s="75" t="inlineStr">
        <is>
          <t>EBIT</t>
        </is>
      </c>
      <c r="B21" s="92">
        <f>B13-B18</f>
        <v/>
      </c>
      <c r="C21" s="92">
        <f>C13-C18</f>
        <v/>
      </c>
      <c r="D21" s="92">
        <f>D13-D18</f>
        <v/>
      </c>
      <c r="E21" s="92">
        <f>E13-E18</f>
        <v/>
      </c>
      <c r="F21" s="92">
        <f>F13-F18</f>
        <v/>
      </c>
      <c r="G21" s="92">
        <f>G13-G18</f>
        <v/>
      </c>
      <c r="H21" s="92">
        <f>H13-H18</f>
        <v/>
      </c>
      <c r="I21" s="92">
        <f>I13-I18</f>
        <v/>
      </c>
    </row>
    <row r="22" ht="14.25" customHeight="1" s="67">
      <c r="A22" s="75" t="inlineStr">
        <is>
          <t xml:space="preserve">   Effective tax rate %</t>
        </is>
      </c>
      <c r="B22" s="93">
        <f>Inputs!$B$20</f>
        <v/>
      </c>
      <c r="C22" s="93">
        <f>Inputs!C45</f>
        <v/>
      </c>
      <c r="D22" s="93">
        <f>Inputs!D45</f>
        <v/>
      </c>
      <c r="E22" s="93">
        <f>Inputs!E45</f>
        <v/>
      </c>
      <c r="F22" s="93">
        <f>Inputs!F45</f>
        <v/>
      </c>
      <c r="G22" s="93">
        <f>Inputs!G45</f>
        <v/>
      </c>
      <c r="H22" s="93">
        <f>Inputs!H45</f>
        <v/>
      </c>
      <c r="I22" s="93">
        <f>Inputs!I45</f>
        <v/>
      </c>
    </row>
    <row r="23" ht="14.25" customHeight="1" s="67">
      <c r="A23" s="75" t="inlineStr">
        <is>
          <t>Less: tax on EBIT</t>
        </is>
      </c>
      <c r="C23" s="92">
        <f>MAX(C21,0)*C22</f>
        <v/>
      </c>
      <c r="D23" s="92">
        <f>MAX(D21,0)*D22</f>
        <v/>
      </c>
      <c r="E23" s="92">
        <f>MAX(E21,0)*E22</f>
        <v/>
      </c>
      <c r="F23" s="92">
        <f>MAX(F21,0)*F22</f>
        <v/>
      </c>
      <c r="G23" s="92">
        <f>MAX(G21,0)*G22</f>
        <v/>
      </c>
      <c r="H23" s="92">
        <f>MAX(H21,0)*H22</f>
        <v/>
      </c>
      <c r="I23" s="92">
        <f>MAX(I21,0)*I22</f>
        <v/>
      </c>
    </row>
    <row r="24" ht="14.25" customHeight="1" s="67">
      <c r="A24" s="75" t="inlineStr">
        <is>
          <t>NOPAT</t>
        </is>
      </c>
      <c r="C24" s="92">
        <f>C21-C23</f>
        <v/>
      </c>
      <c r="D24" s="92">
        <f>D21-D23</f>
        <v/>
      </c>
      <c r="E24" s="92">
        <f>E21-E23</f>
        <v/>
      </c>
      <c r="F24" s="92">
        <f>F21-F23</f>
        <v/>
      </c>
      <c r="G24" s="92">
        <f>G21-G23</f>
        <v/>
      </c>
      <c r="H24" s="92">
        <f>H21-H23</f>
        <v/>
      </c>
      <c r="I24" s="92">
        <f>I21-I23</f>
        <v/>
      </c>
    </row>
    <row r="26" ht="14.25" customHeight="1" s="67">
      <c r="A26" s="75" t="inlineStr">
        <is>
          <t>Add: depreciation &amp; amortization</t>
        </is>
      </c>
      <c r="C26" s="92">
        <f>C18</f>
        <v/>
      </c>
      <c r="D26" s="92">
        <f>D18</f>
        <v/>
      </c>
      <c r="E26" s="92">
        <f>E18</f>
        <v/>
      </c>
      <c r="F26" s="92">
        <f>F18</f>
        <v/>
      </c>
      <c r="G26" s="92">
        <f>G18</f>
        <v/>
      </c>
      <c r="H26" s="92">
        <f>H18</f>
        <v/>
      </c>
      <c r="I26" s="92">
        <f>I18</f>
        <v/>
      </c>
    </row>
    <row r="27" ht="14.25" customHeight="1" s="67">
      <c r="A27" s="75" t="inlineStr">
        <is>
          <t>Less: capital expenditure</t>
        </is>
      </c>
      <c r="C27" s="92">
        <f>-C17</f>
        <v/>
      </c>
      <c r="D27" s="92">
        <f>-D17</f>
        <v/>
      </c>
      <c r="E27" s="92">
        <f>-E17</f>
        <v/>
      </c>
      <c r="F27" s="92">
        <f>-F17</f>
        <v/>
      </c>
      <c r="G27" s="92">
        <f>-G17</f>
        <v/>
      </c>
      <c r="H27" s="92">
        <f>-H17</f>
        <v/>
      </c>
      <c r="I27" s="92">
        <f>-I17</f>
        <v/>
      </c>
    </row>
    <row r="28" ht="14.25" customHeight="1" s="67">
      <c r="A28" s="75" t="inlineStr">
        <is>
          <t xml:space="preserve">   Net working capital balance</t>
        </is>
      </c>
      <c r="B28" s="92">
        <f>Inputs!$B$12*Inputs!$C$44</f>
        <v/>
      </c>
      <c r="C28" s="92">
        <f>C5*Inputs!C44</f>
        <v/>
      </c>
      <c r="D28" s="92">
        <f>D5*Inputs!D44</f>
        <v/>
      </c>
      <c r="E28" s="92">
        <f>E5*Inputs!E44</f>
        <v/>
      </c>
      <c r="F28" s="92">
        <f>F5*Inputs!F44</f>
        <v/>
      </c>
      <c r="G28" s="92">
        <f>G5*Inputs!G44</f>
        <v/>
      </c>
      <c r="H28" s="92">
        <f>H5*Inputs!H44</f>
        <v/>
      </c>
      <c r="I28" s="92">
        <f>I5*Inputs!I44</f>
        <v/>
      </c>
    </row>
    <row r="29" ht="14.25" customHeight="1" s="67">
      <c r="A29" s="75" t="inlineStr">
        <is>
          <t>Less: increase/(decrease) in NWC</t>
        </is>
      </c>
      <c r="C29" s="92">
        <f>-(C28-B28)</f>
        <v/>
      </c>
      <c r="D29" s="92">
        <f>-(D28-C28)</f>
        <v/>
      </c>
      <c r="E29" s="92">
        <f>-(E28-D28)</f>
        <v/>
      </c>
      <c r="F29" s="92">
        <f>-(F28-E28)</f>
        <v/>
      </c>
      <c r="G29" s="92">
        <f>-(G28-F28)</f>
        <v/>
      </c>
      <c r="H29" s="92">
        <f>-(H28-G28)</f>
        <v/>
      </c>
      <c r="I29" s="92">
        <f>-(I28-H28)</f>
        <v/>
      </c>
    </row>
    <row r="30" ht="14.25" customHeight="1" s="67">
      <c r="A30" s="73" t="inlineStr">
        <is>
          <t>Unlevered free cash flow (FCFF)</t>
        </is>
      </c>
      <c r="C30" s="94">
        <f>C24+C26+C27+C29</f>
        <v/>
      </c>
      <c r="D30" s="94">
        <f>D24+D26+D27+D29</f>
        <v/>
      </c>
      <c r="E30" s="94">
        <f>E24+E26+E27+E29</f>
        <v/>
      </c>
      <c r="F30" s="94">
        <f>F24+F26+F27+F29</f>
        <v/>
      </c>
      <c r="G30" s="94">
        <f>G24+G26+G27+G29</f>
        <v/>
      </c>
      <c r="H30" s="94">
        <f>H24+H26+H27+H29</f>
        <v/>
      </c>
      <c r="I30" s="94">
        <f>I24+I26+I27+I29</f>
        <v/>
      </c>
    </row>
    <row r="32" ht="14.25" customHeight="1" s="67">
      <c r="A32" s="75" t="inlineStr">
        <is>
          <t>Discount period (years)</t>
        </is>
      </c>
      <c r="C32" s="75" t="n">
        <v>1</v>
      </c>
      <c r="D32" s="75" t="n">
        <v>2</v>
      </c>
      <c r="E32" s="75" t="n">
        <v>3</v>
      </c>
      <c r="F32" s="75" t="n">
        <v>4</v>
      </c>
      <c r="G32" s="75" t="n">
        <v>5</v>
      </c>
      <c r="H32" s="75" t="n">
        <v>6</v>
      </c>
      <c r="I32" s="75" t="n">
        <v>7</v>
      </c>
    </row>
    <row r="33" ht="14.25" customHeight="1" s="67">
      <c r="A33" s="75" t="inlineStr">
        <is>
          <t>Discount factor @ WACC</t>
        </is>
      </c>
      <c r="C33" s="121">
        <f>1/(1+Inputs!$B$39)^C32</f>
        <v/>
      </c>
      <c r="D33" s="121">
        <f>1/(1+Inputs!$B$39)^D32</f>
        <v/>
      </c>
      <c r="E33" s="121">
        <f>1/(1+Inputs!$B$39)^E32</f>
        <v/>
      </c>
      <c r="F33" s="121">
        <f>1/(1+Inputs!$B$39)^F32</f>
        <v/>
      </c>
      <c r="G33" s="121">
        <f>1/(1+Inputs!$B$39)^G32</f>
        <v/>
      </c>
      <c r="H33" s="121">
        <f>1/(1+Inputs!$B$39)^H32</f>
        <v/>
      </c>
      <c r="I33" s="121">
        <f>1/(1+Inputs!$B$39)^I32</f>
        <v/>
      </c>
    </row>
    <row r="34" ht="14.25" customHeight="1" s="67">
      <c r="A34" s="75" t="inlineStr">
        <is>
          <t>PV of FCFF</t>
        </is>
      </c>
      <c r="C34" s="92">
        <f>C30*C33</f>
        <v/>
      </c>
      <c r="D34" s="92">
        <f>D30*D33</f>
        <v/>
      </c>
      <c r="E34" s="92">
        <f>E30*E33</f>
        <v/>
      </c>
      <c r="F34" s="92">
        <f>F30*F33</f>
        <v/>
      </c>
      <c r="G34" s="92">
        <f>G30*G33</f>
        <v/>
      </c>
      <c r="H34" s="92">
        <f>H30*H33</f>
        <v/>
      </c>
      <c r="I34" s="92">
        <f>I30*I33</f>
        <v/>
      </c>
    </row>
    <row r="36" ht="14.25" customHeight="1" s="67">
      <c r="A36" s="75" t="inlineStr">
        <is>
          <t>Opening debt / lease liabilities</t>
        </is>
      </c>
      <c r="C36" s="92">
        <f>B39</f>
        <v/>
      </c>
      <c r="D36" s="92">
        <f>C39</f>
        <v/>
      </c>
      <c r="E36" s="92">
        <f>D39</f>
        <v/>
      </c>
      <c r="F36" s="92">
        <f>E39</f>
        <v/>
      </c>
      <c r="G36" s="92">
        <f>F39</f>
        <v/>
      </c>
      <c r="H36" s="92">
        <f>G39</f>
        <v/>
      </c>
      <c r="I36" s="92">
        <f>H39</f>
        <v/>
      </c>
    </row>
    <row r="37" ht="14.25" customHeight="1" s="67">
      <c r="A37" s="75" t="inlineStr">
        <is>
          <t>Add: new lease liability additions</t>
        </is>
      </c>
      <c r="C37" s="92">
        <f>C17*Inputs!C46</f>
        <v/>
      </c>
      <c r="D37" s="92">
        <f>D17*Inputs!D46</f>
        <v/>
      </c>
      <c r="E37" s="92">
        <f>E17*Inputs!E46</f>
        <v/>
      </c>
      <c r="F37" s="92">
        <f>F17*Inputs!F46</f>
        <v/>
      </c>
      <c r="G37" s="92">
        <f>G17*Inputs!G46</f>
        <v/>
      </c>
      <c r="H37" s="92">
        <f>H17*Inputs!H46</f>
        <v/>
      </c>
      <c r="I37" s="92">
        <f>I17*Inputs!I46</f>
        <v/>
      </c>
    </row>
    <row r="38" ht="14.25" customHeight="1" s="67">
      <c r="A38" s="75" t="inlineStr">
        <is>
          <t>Less: repayments</t>
        </is>
      </c>
      <c r="C38" s="92">
        <f>C36*Inputs!C47</f>
        <v/>
      </c>
      <c r="D38" s="92">
        <f>D36*Inputs!D47</f>
        <v/>
      </c>
      <c r="E38" s="92">
        <f>E36*Inputs!E47</f>
        <v/>
      </c>
      <c r="F38" s="92">
        <f>F36*Inputs!F47</f>
        <v/>
      </c>
      <c r="G38" s="92">
        <f>G36*Inputs!G47</f>
        <v/>
      </c>
      <c r="H38" s="92">
        <f>H36*Inputs!H47</f>
        <v/>
      </c>
      <c r="I38" s="92">
        <f>I36*Inputs!I47</f>
        <v/>
      </c>
    </row>
    <row r="39" ht="14.25" customHeight="1" s="67">
      <c r="A39" s="75" t="inlineStr">
        <is>
          <t>Closing debt / lease liabilities</t>
        </is>
      </c>
      <c r="B39" s="92">
        <f>Inputs!$B$23</f>
        <v/>
      </c>
      <c r="C39" s="92">
        <f>C36+C37-C38</f>
        <v/>
      </c>
      <c r="D39" s="92">
        <f>D36+D37-D38</f>
        <v/>
      </c>
      <c r="E39" s="92">
        <f>E36+E37-E38</f>
        <v/>
      </c>
      <c r="F39" s="92">
        <f>F36+F37-F38</f>
        <v/>
      </c>
      <c r="G39" s="92">
        <f>G36+G37-G38</f>
        <v/>
      </c>
      <c r="H39" s="92">
        <f>H36+H37-H38</f>
        <v/>
      </c>
      <c r="I39" s="92">
        <f>I36+I37-I38</f>
        <v/>
      </c>
    </row>
    <row r="40" ht="14.25" customHeight="1" s="67">
      <c r="A40" s="75" t="inlineStr">
        <is>
          <t>Memo: interest expense</t>
        </is>
      </c>
      <c r="C40" s="92">
        <f>AVERAGE(C36,C39)*Inputs!$B$32</f>
        <v/>
      </c>
      <c r="D40" s="92">
        <f>AVERAGE(D36,D39)*Inputs!$B$32</f>
        <v/>
      </c>
      <c r="E40" s="92">
        <f>AVERAGE(E36,E39)*Inputs!$B$32</f>
        <v/>
      </c>
      <c r="F40" s="92">
        <f>AVERAGE(F36,F39)*Inputs!$B$32</f>
        <v/>
      </c>
      <c r="G40" s="92">
        <f>AVERAGE(G36,G39)*Inputs!$B$32</f>
        <v/>
      </c>
      <c r="H40" s="92">
        <f>AVERAGE(H36,H39)*Inputs!$B$32</f>
        <v/>
      </c>
      <c r="I40" s="92">
        <f>AVERAGE(I36,I39)*Inputs!$B$32</f>
        <v/>
      </c>
    </row>
    <row r="42" ht="14.25" customHeight="1" s="67">
      <c r="A42" s="75" t="inlineStr">
        <is>
          <t>Sum of PV of explicit FCFF (FY27E-FY33E)</t>
        </is>
      </c>
      <c r="C42" s="92">
        <f>SUM(C34:I34)</f>
        <v/>
      </c>
    </row>
    <row r="43" ht="14.25" customHeight="1" s="67">
      <c r="A43" s="75" t="inlineStr">
        <is>
          <t>Terminal value — Gordon Growth method</t>
        </is>
      </c>
      <c r="C43" s="92">
        <f>I30*(1+Inputs!$C$57)/(Inputs!$B$39-Inputs!$C$57)</f>
        <v/>
      </c>
    </row>
    <row r="44" ht="14.25" customHeight="1" s="67">
      <c r="A44" s="75" t="inlineStr">
        <is>
          <t>PV of terminal value — Gordon Growth</t>
        </is>
      </c>
      <c r="C44" s="92">
        <f>C43*I33</f>
        <v/>
      </c>
    </row>
    <row r="45" ht="14.25" customHeight="1" s="67">
      <c r="A45" s="75" t="inlineStr">
        <is>
          <t>Terminal value — Exit Multiple method</t>
        </is>
      </c>
      <c r="C45" s="92">
        <f>I13*Inputs!$C$58</f>
        <v/>
      </c>
    </row>
    <row r="46" ht="14.25" customHeight="1" s="67">
      <c r="A46" s="75" t="inlineStr">
        <is>
          <t>PV of terminal value — Exit Multiple</t>
        </is>
      </c>
      <c r="C46" s="92">
        <f>C45*I33</f>
        <v/>
      </c>
    </row>
    <row r="47" ht="14.25" customHeight="1" s="67">
      <c r="A47" s="73" t="inlineStr">
        <is>
          <t>Enterprise value — Gordon Growth method</t>
        </is>
      </c>
      <c r="C47" s="122">
        <f>C42+C44</f>
        <v/>
      </c>
    </row>
    <row r="48" ht="14.25" customHeight="1" s="67">
      <c r="A48" s="73" t="inlineStr">
        <is>
          <t>Enterprise value — Exit Multiple method</t>
        </is>
      </c>
      <c r="C48" s="122">
        <f>C42+C46</f>
        <v/>
      </c>
    </row>
    <row r="49" ht="14.25" customHeight="1" s="67">
      <c r="A49" s="75" t="inlineStr">
        <is>
          <t>Less: net debt / (net cash), FY26A</t>
        </is>
      </c>
      <c r="C49" s="92">
        <f>Inputs!$B$25</f>
        <v/>
      </c>
    </row>
    <row r="50" ht="14.25" customHeight="1" s="67">
      <c r="A50" s="73" t="inlineStr">
        <is>
          <t>Equity value — Gordon Growth method</t>
        </is>
      </c>
      <c r="C50" s="122">
        <f>C47-C49</f>
        <v/>
      </c>
    </row>
    <row r="51" ht="14.25" customHeight="1" s="67">
      <c r="A51" s="73" t="inlineStr">
        <is>
          <t>Equity value — Exit Multiple method</t>
        </is>
      </c>
      <c r="C51" s="122">
        <f>C48-C49</f>
        <v/>
      </c>
    </row>
    <row r="52" ht="14.25" customHeight="1" s="67">
      <c r="A52" s="75" t="inlineStr">
        <is>
          <t>Diluted shares outstanding (Cr)</t>
        </is>
      </c>
      <c r="C52" s="123">
        <f>Inputs!$B$8</f>
        <v/>
      </c>
    </row>
    <row r="53" ht="14.25" customHeight="1" s="67">
      <c r="A53" s="73" t="inlineStr">
        <is>
          <t>Implied share price — Gordon Growth (₹)</t>
        </is>
      </c>
      <c r="C53" s="95">
        <f>C50/C52</f>
        <v/>
      </c>
    </row>
    <row r="54" ht="14.25" customHeight="1" s="67">
      <c r="A54" s="73" t="inlineStr">
        <is>
          <t>Implied share price — Exit Multiple (₹)</t>
        </is>
      </c>
      <c r="C54" s="95">
        <f>C51/C52</f>
        <v/>
      </c>
    </row>
    <row r="55" ht="14.25" customHeight="1" s="67">
      <c r="A55" s="75" t="inlineStr">
        <is>
          <t>Current market price (₹)</t>
        </is>
      </c>
      <c r="C55" s="124">
        <f>Inputs!$B$7</f>
        <v/>
      </c>
    </row>
    <row r="56" ht="14.25" customHeight="1" s="67">
      <c r="A56" s="75" t="inlineStr">
        <is>
          <t>Upside / (downside) — Gordon Growth</t>
        </is>
      </c>
      <c r="C56" s="93">
        <f>C53/C55-1</f>
        <v/>
      </c>
    </row>
    <row r="57" ht="14.25" customHeight="1" s="67">
      <c r="A57" s="75" t="inlineStr">
        <is>
          <t>Upside / (downside) — Exit Multiple</t>
        </is>
      </c>
      <c r="C57" s="93">
        <f>C54/C55-1</f>
        <v/>
      </c>
    </row>
    <row r="60" ht="18" customHeight="1" s="67">
      <c r="A60" s="125" t="inlineStr">
        <is>
          <t>SCENARIO 2 OF 3  —  BULL CASE</t>
        </is>
      </c>
      <c r="B60" s="116" t="n"/>
      <c r="C60" s="116" t="n"/>
      <c r="D60" s="116" t="n"/>
      <c r="E60" s="116" t="n"/>
      <c r="F60" s="116" t="n"/>
      <c r="G60" s="116" t="n"/>
      <c r="H60" s="116" t="n"/>
      <c r="I60" s="116" t="n"/>
    </row>
    <row r="61" ht="14.25" customHeight="1" s="67">
      <c r="A61" s="73" t="inlineStr">
        <is>
          <t>Line item</t>
        </is>
      </c>
      <c r="B61" s="119" t="inlineStr">
        <is>
          <t>FY26A</t>
        </is>
      </c>
      <c r="C61" s="90" t="inlineStr">
        <is>
          <t>FY27E</t>
        </is>
      </c>
      <c r="D61" s="90" t="inlineStr">
        <is>
          <t>FY28E</t>
        </is>
      </c>
      <c r="E61" s="90" t="inlineStr">
        <is>
          <t>FY29E</t>
        </is>
      </c>
      <c r="F61" s="90" t="inlineStr">
        <is>
          <t>FY30E</t>
        </is>
      </c>
      <c r="G61" s="90" t="inlineStr">
        <is>
          <t>FY31E</t>
        </is>
      </c>
      <c r="H61" s="90" t="inlineStr">
        <is>
          <t>FY32E</t>
        </is>
      </c>
      <c r="I61" s="90" t="inlineStr">
        <is>
          <t>FY33E</t>
        </is>
      </c>
    </row>
    <row r="62" ht="14.25" customHeight="1" s="67">
      <c r="A62" s="73" t="inlineStr">
        <is>
          <t>Revenue</t>
        </is>
      </c>
      <c r="B62" s="94">
        <f>Inputs!$B$12</f>
        <v/>
      </c>
      <c r="C62" s="120">
        <f>Inputs!$B$53</f>
        <v/>
      </c>
      <c r="D62" s="94">
        <f>C62*(1+Inputs!D63)</f>
        <v/>
      </c>
      <c r="E62" s="94">
        <f>D62*(1+Inputs!E63)</f>
        <v/>
      </c>
      <c r="F62" s="94">
        <f>E62*(1+Inputs!F63)</f>
        <v/>
      </c>
      <c r="G62" s="94">
        <f>F62*(1+Inputs!G63)</f>
        <v/>
      </c>
      <c r="H62" s="94">
        <f>G62*(1+Inputs!H63)</f>
        <v/>
      </c>
      <c r="I62" s="94">
        <f>H62*(1+Inputs!I63)</f>
        <v/>
      </c>
    </row>
    <row r="63" ht="14.25" customHeight="1" s="67">
      <c r="A63" s="75" t="inlineStr">
        <is>
          <t xml:space="preserve">   Revenue growth % YoY</t>
        </is>
      </c>
      <c r="C63" s="93">
        <f>C62/B62-1</f>
        <v/>
      </c>
      <c r="D63" s="93">
        <f>Inputs!D63</f>
        <v/>
      </c>
      <c r="E63" s="93">
        <f>Inputs!E63</f>
        <v/>
      </c>
      <c r="F63" s="93">
        <f>Inputs!F63</f>
        <v/>
      </c>
      <c r="G63" s="93">
        <f>Inputs!G63</f>
        <v/>
      </c>
      <c r="H63" s="93">
        <f>Inputs!H63</f>
        <v/>
      </c>
      <c r="I63" s="93">
        <f>Inputs!I63</f>
        <v/>
      </c>
    </row>
    <row r="65" ht="14.25" customHeight="1" s="67">
      <c r="A65" s="75" t="inlineStr">
        <is>
          <t>Cost of materials/goods consumed</t>
        </is>
      </c>
      <c r="C65" s="92">
        <f>C62*Inputs!C64</f>
        <v/>
      </c>
      <c r="D65" s="92">
        <f>D62*Inputs!D64</f>
        <v/>
      </c>
      <c r="E65" s="92">
        <f>E62*Inputs!E64</f>
        <v/>
      </c>
      <c r="F65" s="92">
        <f>F62*Inputs!F64</f>
        <v/>
      </c>
      <c r="G65" s="92">
        <f>G62*Inputs!G64</f>
        <v/>
      </c>
      <c r="H65" s="92">
        <f>H62*Inputs!H64</f>
        <v/>
      </c>
      <c r="I65" s="92">
        <f>I62*Inputs!I64</f>
        <v/>
      </c>
    </row>
    <row r="66" ht="14.25" customHeight="1" s="67">
      <c r="A66" s="75" t="inlineStr">
        <is>
          <t>Employee benefit expense</t>
        </is>
      </c>
      <c r="C66" s="92">
        <f>C62*Inputs!C65</f>
        <v/>
      </c>
      <c r="D66" s="92">
        <f>D62*Inputs!D65</f>
        <v/>
      </c>
      <c r="E66" s="92">
        <f>E62*Inputs!E65</f>
        <v/>
      </c>
      <c r="F66" s="92">
        <f>F62*Inputs!F65</f>
        <v/>
      </c>
      <c r="G66" s="92">
        <f>G62*Inputs!G65</f>
        <v/>
      </c>
      <c r="H66" s="92">
        <f>H62*Inputs!H65</f>
        <v/>
      </c>
      <c r="I66" s="92">
        <f>I62*Inputs!I65</f>
        <v/>
      </c>
    </row>
    <row r="67" ht="14.25" customHeight="1" s="67">
      <c r="A67" s="75" t="inlineStr">
        <is>
          <t>Delivery &amp; logistics expense</t>
        </is>
      </c>
      <c r="C67" s="92">
        <f>C62*Inputs!C66</f>
        <v/>
      </c>
      <c r="D67" s="92">
        <f>D62*Inputs!D66</f>
        <v/>
      </c>
      <c r="E67" s="92">
        <f>E62*Inputs!E66</f>
        <v/>
      </c>
      <c r="F67" s="92">
        <f>F62*Inputs!F66</f>
        <v/>
      </c>
      <c r="G67" s="92">
        <f>G62*Inputs!G66</f>
        <v/>
      </c>
      <c r="H67" s="92">
        <f>H62*Inputs!H66</f>
        <v/>
      </c>
      <c r="I67" s="92">
        <f>I62*Inputs!I66</f>
        <v/>
      </c>
    </row>
    <row r="68" ht="14.25" customHeight="1" s="67">
      <c r="A68" s="75" t="inlineStr">
        <is>
          <t>Marketing, technology &amp; other opex</t>
        </is>
      </c>
      <c r="C68" s="92">
        <f>C62*Inputs!C67</f>
        <v/>
      </c>
      <c r="D68" s="92">
        <f>D62*Inputs!D67</f>
        <v/>
      </c>
      <c r="E68" s="92">
        <f>E62*Inputs!E67</f>
        <v/>
      </c>
      <c r="F68" s="92">
        <f>F62*Inputs!F67</f>
        <v/>
      </c>
      <c r="G68" s="92">
        <f>G62*Inputs!G67</f>
        <v/>
      </c>
      <c r="H68" s="92">
        <f>H62*Inputs!H67</f>
        <v/>
      </c>
      <c r="I68" s="92">
        <f>I62*Inputs!I67</f>
        <v/>
      </c>
    </row>
    <row r="69" ht="14.25" customHeight="1" s="67">
      <c r="A69" s="75" t="inlineStr">
        <is>
          <t>Total operating expenses</t>
        </is>
      </c>
      <c r="C69" s="92">
        <f>SUM(C65:C68)</f>
        <v/>
      </c>
      <c r="D69" s="92">
        <f>SUM(D65:D68)</f>
        <v/>
      </c>
      <c r="E69" s="92">
        <f>SUM(E65:E68)</f>
        <v/>
      </c>
      <c r="F69" s="92">
        <f>SUM(F65:F68)</f>
        <v/>
      </c>
      <c r="G69" s="92">
        <f>SUM(G65:G68)</f>
        <v/>
      </c>
      <c r="H69" s="92">
        <f>SUM(H65:H68)</f>
        <v/>
      </c>
      <c r="I69" s="92">
        <f>SUM(I65:I68)</f>
        <v/>
      </c>
    </row>
    <row r="70" ht="14.25" customHeight="1" s="67">
      <c r="A70" s="73" t="inlineStr">
        <is>
          <t>EBITDA</t>
        </is>
      </c>
      <c r="B70" s="94">
        <f>Inputs!$B$13</f>
        <v/>
      </c>
      <c r="C70" s="94">
        <f>C62-C69</f>
        <v/>
      </c>
      <c r="D70" s="94">
        <f>D62-D69</f>
        <v/>
      </c>
      <c r="E70" s="94">
        <f>E62-E69</f>
        <v/>
      </c>
      <c r="F70" s="94">
        <f>F62-F69</f>
        <v/>
      </c>
      <c r="G70" s="94">
        <f>G62-G69</f>
        <v/>
      </c>
      <c r="H70" s="94">
        <f>H62-H69</f>
        <v/>
      </c>
      <c r="I70" s="94">
        <f>I62-I69</f>
        <v/>
      </c>
    </row>
    <row r="71" ht="14.25" customHeight="1" s="67">
      <c r="A71" s="75" t="inlineStr">
        <is>
          <t xml:space="preserve">   EBITDA margin %</t>
        </is>
      </c>
      <c r="B71" s="93">
        <f>B70/B62</f>
        <v/>
      </c>
      <c r="C71" s="93">
        <f>C70/C62</f>
        <v/>
      </c>
      <c r="D71" s="93">
        <f>D70/D62</f>
        <v/>
      </c>
      <c r="E71" s="93">
        <f>E70/E62</f>
        <v/>
      </c>
      <c r="F71" s="93">
        <f>F70/F62</f>
        <v/>
      </c>
      <c r="G71" s="93">
        <f>G70/G62</f>
        <v/>
      </c>
      <c r="H71" s="93">
        <f>H70/H62</f>
        <v/>
      </c>
      <c r="I71" s="93">
        <f>I70/I62</f>
        <v/>
      </c>
    </row>
    <row r="73" ht="14.25" customHeight="1" s="67">
      <c r="A73" s="75" t="inlineStr">
        <is>
          <t>Opening net block (PP&amp;E)</t>
        </is>
      </c>
      <c r="C73" s="92">
        <f>B76</f>
        <v/>
      </c>
      <c r="D73" s="92">
        <f>C76</f>
        <v/>
      </c>
      <c r="E73" s="92">
        <f>D76</f>
        <v/>
      </c>
      <c r="F73" s="92">
        <f>E76</f>
        <v/>
      </c>
      <c r="G73" s="92">
        <f>F76</f>
        <v/>
      </c>
      <c r="H73" s="92">
        <f>G76</f>
        <v/>
      </c>
      <c r="I73" s="92">
        <f>H76</f>
        <v/>
      </c>
    </row>
    <row r="74" ht="14.25" customHeight="1" s="67">
      <c r="A74" s="75" t="inlineStr">
        <is>
          <t>Capital expenditure</t>
        </is>
      </c>
      <c r="C74" s="92">
        <f>C62*Inputs!C68</f>
        <v/>
      </c>
      <c r="D74" s="92">
        <f>D62*Inputs!D68</f>
        <v/>
      </c>
      <c r="E74" s="92">
        <f>E62*Inputs!E68</f>
        <v/>
      </c>
      <c r="F74" s="92">
        <f>F62*Inputs!F68</f>
        <v/>
      </c>
      <c r="G74" s="92">
        <f>G62*Inputs!G68</f>
        <v/>
      </c>
      <c r="H74" s="92">
        <f>H62*Inputs!H68</f>
        <v/>
      </c>
      <c r="I74" s="92">
        <f>I62*Inputs!I68</f>
        <v/>
      </c>
    </row>
    <row r="75" ht="14.25" customHeight="1" s="67">
      <c r="A75" s="75" t="inlineStr">
        <is>
          <t>Depreciation &amp; amortization</t>
        </is>
      </c>
      <c r="B75" s="92">
        <f>Inputs!$B$15</f>
        <v/>
      </c>
      <c r="C75" s="92">
        <f>C73*Inputs!C43</f>
        <v/>
      </c>
      <c r="D75" s="92">
        <f>D73*Inputs!D43</f>
        <v/>
      </c>
      <c r="E75" s="92">
        <f>E73*Inputs!E43</f>
        <v/>
      </c>
      <c r="F75" s="92">
        <f>F73*Inputs!F43</f>
        <v/>
      </c>
      <c r="G75" s="92">
        <f>G73*Inputs!G43</f>
        <v/>
      </c>
      <c r="H75" s="92">
        <f>H73*Inputs!H43</f>
        <v/>
      </c>
      <c r="I75" s="92">
        <f>I73*Inputs!I43</f>
        <v/>
      </c>
    </row>
    <row r="76" ht="14.25" customHeight="1" s="67">
      <c r="A76" s="75" t="inlineStr">
        <is>
          <t>Closing net block (PP&amp;E)</t>
        </is>
      </c>
      <c r="B76" s="92">
        <f>Inputs!$B$22</f>
        <v/>
      </c>
      <c r="C76" s="92">
        <f>C73+C74-C75</f>
        <v/>
      </c>
      <c r="D76" s="92">
        <f>D73+D74-D75</f>
        <v/>
      </c>
      <c r="E76" s="92">
        <f>E73+E74-E75</f>
        <v/>
      </c>
      <c r="F76" s="92">
        <f>F73+F74-F75</f>
        <v/>
      </c>
      <c r="G76" s="92">
        <f>G73+G74-G75</f>
        <v/>
      </c>
      <c r="H76" s="92">
        <f>H73+H74-H75</f>
        <v/>
      </c>
      <c r="I76" s="92">
        <f>I73+I74-I75</f>
        <v/>
      </c>
    </row>
    <row r="78" ht="14.25" customHeight="1" s="67">
      <c r="A78" s="75" t="inlineStr">
        <is>
          <t>EBIT</t>
        </is>
      </c>
      <c r="B78" s="92">
        <f>B70-B75</f>
        <v/>
      </c>
      <c r="C78" s="92">
        <f>C70-C75</f>
        <v/>
      </c>
      <c r="D78" s="92">
        <f>D70-D75</f>
        <v/>
      </c>
      <c r="E78" s="92">
        <f>E70-E75</f>
        <v/>
      </c>
      <c r="F78" s="92">
        <f>F70-F75</f>
        <v/>
      </c>
      <c r="G78" s="92">
        <f>G70-G75</f>
        <v/>
      </c>
      <c r="H78" s="92">
        <f>H70-H75</f>
        <v/>
      </c>
      <c r="I78" s="92">
        <f>I70-I75</f>
        <v/>
      </c>
    </row>
    <row r="79" ht="14.25" customHeight="1" s="67">
      <c r="A79" s="75" t="inlineStr">
        <is>
          <t xml:space="preserve">   Effective tax rate %</t>
        </is>
      </c>
      <c r="B79" s="93">
        <f>Inputs!$B$20</f>
        <v/>
      </c>
      <c r="C79" s="93">
        <f>Inputs!C45</f>
        <v/>
      </c>
      <c r="D79" s="93">
        <f>Inputs!D45</f>
        <v/>
      </c>
      <c r="E79" s="93">
        <f>Inputs!E45</f>
        <v/>
      </c>
      <c r="F79" s="93">
        <f>Inputs!F45</f>
        <v/>
      </c>
      <c r="G79" s="93">
        <f>Inputs!G45</f>
        <v/>
      </c>
      <c r="H79" s="93">
        <f>Inputs!H45</f>
        <v/>
      </c>
      <c r="I79" s="93">
        <f>Inputs!I45</f>
        <v/>
      </c>
    </row>
    <row r="80" ht="14.25" customHeight="1" s="67">
      <c r="A80" s="75" t="inlineStr">
        <is>
          <t>Less: tax on EBIT</t>
        </is>
      </c>
      <c r="C80" s="92">
        <f>MAX(C78,0)*C79</f>
        <v/>
      </c>
      <c r="D80" s="92">
        <f>MAX(D78,0)*D79</f>
        <v/>
      </c>
      <c r="E80" s="92">
        <f>MAX(E78,0)*E79</f>
        <v/>
      </c>
      <c r="F80" s="92">
        <f>MAX(F78,0)*F79</f>
        <v/>
      </c>
      <c r="G80" s="92">
        <f>MAX(G78,0)*G79</f>
        <v/>
      </c>
      <c r="H80" s="92">
        <f>MAX(H78,0)*H79</f>
        <v/>
      </c>
      <c r="I80" s="92">
        <f>MAX(I78,0)*I79</f>
        <v/>
      </c>
    </row>
    <row r="81" ht="14.25" customHeight="1" s="67">
      <c r="A81" s="75" t="inlineStr">
        <is>
          <t>NOPAT</t>
        </is>
      </c>
      <c r="C81" s="92">
        <f>C78-C80</f>
        <v/>
      </c>
      <c r="D81" s="92">
        <f>D78-D80</f>
        <v/>
      </c>
      <c r="E81" s="92">
        <f>E78-E80</f>
        <v/>
      </c>
      <c r="F81" s="92">
        <f>F78-F80</f>
        <v/>
      </c>
      <c r="G81" s="92">
        <f>G78-G80</f>
        <v/>
      </c>
      <c r="H81" s="92">
        <f>H78-H80</f>
        <v/>
      </c>
      <c r="I81" s="92">
        <f>I78-I80</f>
        <v/>
      </c>
    </row>
    <row r="83" ht="14.25" customHeight="1" s="67">
      <c r="A83" s="75" t="inlineStr">
        <is>
          <t>Add: depreciation &amp; amortization</t>
        </is>
      </c>
      <c r="C83" s="92">
        <f>C75</f>
        <v/>
      </c>
      <c r="D83" s="92">
        <f>D75</f>
        <v/>
      </c>
      <c r="E83" s="92">
        <f>E75</f>
        <v/>
      </c>
      <c r="F83" s="92">
        <f>F75</f>
        <v/>
      </c>
      <c r="G83" s="92">
        <f>G75</f>
        <v/>
      </c>
      <c r="H83" s="92">
        <f>H75</f>
        <v/>
      </c>
      <c r="I83" s="92">
        <f>I75</f>
        <v/>
      </c>
    </row>
    <row r="84" ht="14.25" customHeight="1" s="67">
      <c r="A84" s="75" t="inlineStr">
        <is>
          <t>Less: capital expenditure</t>
        </is>
      </c>
      <c r="C84" s="92">
        <f>-C74</f>
        <v/>
      </c>
      <c r="D84" s="92">
        <f>-D74</f>
        <v/>
      </c>
      <c r="E84" s="92">
        <f>-E74</f>
        <v/>
      </c>
      <c r="F84" s="92">
        <f>-F74</f>
        <v/>
      </c>
      <c r="G84" s="92">
        <f>-G74</f>
        <v/>
      </c>
      <c r="H84" s="92">
        <f>-H74</f>
        <v/>
      </c>
      <c r="I84" s="92">
        <f>-I74</f>
        <v/>
      </c>
    </row>
    <row r="85" ht="14.25" customHeight="1" s="67">
      <c r="A85" s="75" t="inlineStr">
        <is>
          <t xml:space="preserve">   Net working capital balance</t>
        </is>
      </c>
      <c r="B85" s="92">
        <f>Inputs!$B$12*Inputs!$C$44</f>
        <v/>
      </c>
      <c r="C85" s="92">
        <f>C62*Inputs!C44</f>
        <v/>
      </c>
      <c r="D85" s="92">
        <f>D62*Inputs!D44</f>
        <v/>
      </c>
      <c r="E85" s="92">
        <f>E62*Inputs!E44</f>
        <v/>
      </c>
      <c r="F85" s="92">
        <f>F62*Inputs!F44</f>
        <v/>
      </c>
      <c r="G85" s="92">
        <f>G62*Inputs!G44</f>
        <v/>
      </c>
      <c r="H85" s="92">
        <f>H62*Inputs!H44</f>
        <v/>
      </c>
      <c r="I85" s="92">
        <f>I62*Inputs!I44</f>
        <v/>
      </c>
    </row>
    <row r="86" ht="14.25" customHeight="1" s="67">
      <c r="A86" s="75" t="inlineStr">
        <is>
          <t>Less: increase/(decrease) in NWC</t>
        </is>
      </c>
      <c r="C86" s="92">
        <f>-(C85-B85)</f>
        <v/>
      </c>
      <c r="D86" s="92">
        <f>-(D85-C85)</f>
        <v/>
      </c>
      <c r="E86" s="92">
        <f>-(E85-D85)</f>
        <v/>
      </c>
      <c r="F86" s="92">
        <f>-(F85-E85)</f>
        <v/>
      </c>
      <c r="G86" s="92">
        <f>-(G85-F85)</f>
        <v/>
      </c>
      <c r="H86" s="92">
        <f>-(H85-G85)</f>
        <v/>
      </c>
      <c r="I86" s="92">
        <f>-(I85-H85)</f>
        <v/>
      </c>
    </row>
    <row r="87" ht="14.25" customHeight="1" s="67">
      <c r="A87" s="73" t="inlineStr">
        <is>
          <t>Unlevered free cash flow (FCFF)</t>
        </is>
      </c>
      <c r="C87" s="94">
        <f>C81+C83+C84+C86</f>
        <v/>
      </c>
      <c r="D87" s="94">
        <f>D81+D83+D84+D86</f>
        <v/>
      </c>
      <c r="E87" s="94">
        <f>E81+E83+E84+E86</f>
        <v/>
      </c>
      <c r="F87" s="94">
        <f>F81+F83+F84+F86</f>
        <v/>
      </c>
      <c r="G87" s="94">
        <f>G81+G83+G84+G86</f>
        <v/>
      </c>
      <c r="H87" s="94">
        <f>H81+H83+H84+H86</f>
        <v/>
      </c>
      <c r="I87" s="94">
        <f>I81+I83+I84+I86</f>
        <v/>
      </c>
    </row>
    <row r="89" ht="14.25" customHeight="1" s="67">
      <c r="A89" s="75" t="inlineStr">
        <is>
          <t>Discount period (years)</t>
        </is>
      </c>
      <c r="C89" s="75" t="n">
        <v>1</v>
      </c>
      <c r="D89" s="75" t="n">
        <v>2</v>
      </c>
      <c r="E89" s="75" t="n">
        <v>3</v>
      </c>
      <c r="F89" s="75" t="n">
        <v>4</v>
      </c>
      <c r="G89" s="75" t="n">
        <v>5</v>
      </c>
      <c r="H89" s="75" t="n">
        <v>6</v>
      </c>
      <c r="I89" s="75" t="n">
        <v>7</v>
      </c>
    </row>
    <row r="90" ht="14.25" customHeight="1" s="67">
      <c r="A90" s="75" t="inlineStr">
        <is>
          <t>Discount factor @ WACC</t>
        </is>
      </c>
      <c r="C90" s="121">
        <f>1/(1+Inputs!$B$39)^C89</f>
        <v/>
      </c>
      <c r="D90" s="121">
        <f>1/(1+Inputs!$B$39)^D89</f>
        <v/>
      </c>
      <c r="E90" s="121">
        <f>1/(1+Inputs!$B$39)^E89</f>
        <v/>
      </c>
      <c r="F90" s="121">
        <f>1/(1+Inputs!$B$39)^F89</f>
        <v/>
      </c>
      <c r="G90" s="121">
        <f>1/(1+Inputs!$B$39)^G89</f>
        <v/>
      </c>
      <c r="H90" s="121">
        <f>1/(1+Inputs!$B$39)^H89</f>
        <v/>
      </c>
      <c r="I90" s="121">
        <f>1/(1+Inputs!$B$39)^I89</f>
        <v/>
      </c>
    </row>
    <row r="91" ht="14.25" customHeight="1" s="67">
      <c r="A91" s="75" t="inlineStr">
        <is>
          <t>PV of FCFF</t>
        </is>
      </c>
      <c r="C91" s="92">
        <f>C87*C90</f>
        <v/>
      </c>
      <c r="D91" s="92">
        <f>D87*D90</f>
        <v/>
      </c>
      <c r="E91" s="92">
        <f>E87*E90</f>
        <v/>
      </c>
      <c r="F91" s="92">
        <f>F87*F90</f>
        <v/>
      </c>
      <c r="G91" s="92">
        <f>G87*G90</f>
        <v/>
      </c>
      <c r="H91" s="92">
        <f>H87*H90</f>
        <v/>
      </c>
      <c r="I91" s="92">
        <f>I87*I90</f>
        <v/>
      </c>
    </row>
    <row r="93" ht="14.25" customHeight="1" s="67">
      <c r="A93" s="75" t="inlineStr">
        <is>
          <t>Opening debt / lease liabilities</t>
        </is>
      </c>
      <c r="C93" s="92">
        <f>B96</f>
        <v/>
      </c>
      <c r="D93" s="92">
        <f>C96</f>
        <v/>
      </c>
      <c r="E93" s="92">
        <f>D96</f>
        <v/>
      </c>
      <c r="F93" s="92">
        <f>E96</f>
        <v/>
      </c>
      <c r="G93" s="92">
        <f>F96</f>
        <v/>
      </c>
      <c r="H93" s="92">
        <f>G96</f>
        <v/>
      </c>
      <c r="I93" s="92">
        <f>H96</f>
        <v/>
      </c>
    </row>
    <row r="94" ht="14.25" customHeight="1" s="67">
      <c r="A94" s="75" t="inlineStr">
        <is>
          <t>Add: new lease liability additions</t>
        </is>
      </c>
      <c r="C94" s="92">
        <f>C74*Inputs!C46</f>
        <v/>
      </c>
      <c r="D94" s="92">
        <f>D74*Inputs!D46</f>
        <v/>
      </c>
      <c r="E94" s="92">
        <f>E74*Inputs!E46</f>
        <v/>
      </c>
      <c r="F94" s="92">
        <f>F74*Inputs!F46</f>
        <v/>
      </c>
      <c r="G94" s="92">
        <f>G74*Inputs!G46</f>
        <v/>
      </c>
      <c r="H94" s="92">
        <f>H74*Inputs!H46</f>
        <v/>
      </c>
      <c r="I94" s="92">
        <f>I74*Inputs!I46</f>
        <v/>
      </c>
    </row>
    <row r="95" ht="14.25" customHeight="1" s="67">
      <c r="A95" s="75" t="inlineStr">
        <is>
          <t>Less: repayments</t>
        </is>
      </c>
      <c r="C95" s="92">
        <f>C93*Inputs!C47</f>
        <v/>
      </c>
      <c r="D95" s="92">
        <f>D93*Inputs!D47</f>
        <v/>
      </c>
      <c r="E95" s="92">
        <f>E93*Inputs!E47</f>
        <v/>
      </c>
      <c r="F95" s="92">
        <f>F93*Inputs!F47</f>
        <v/>
      </c>
      <c r="G95" s="92">
        <f>G93*Inputs!G47</f>
        <v/>
      </c>
      <c r="H95" s="92">
        <f>H93*Inputs!H47</f>
        <v/>
      </c>
      <c r="I95" s="92">
        <f>I93*Inputs!I47</f>
        <v/>
      </c>
    </row>
    <row r="96" ht="14.25" customHeight="1" s="67">
      <c r="A96" s="75" t="inlineStr">
        <is>
          <t>Closing debt / lease liabilities</t>
        </is>
      </c>
      <c r="B96" s="92">
        <f>Inputs!$B$23</f>
        <v/>
      </c>
      <c r="C96" s="92">
        <f>C93+C94-C95</f>
        <v/>
      </c>
      <c r="D96" s="92">
        <f>D93+D94-D95</f>
        <v/>
      </c>
      <c r="E96" s="92">
        <f>E93+E94-E95</f>
        <v/>
      </c>
      <c r="F96" s="92">
        <f>F93+F94-F95</f>
        <v/>
      </c>
      <c r="G96" s="92">
        <f>G93+G94-G95</f>
        <v/>
      </c>
      <c r="H96" s="92">
        <f>H93+H94-H95</f>
        <v/>
      </c>
      <c r="I96" s="92">
        <f>I93+I94-I95</f>
        <v/>
      </c>
    </row>
    <row r="97" ht="14.25" customHeight="1" s="67">
      <c r="A97" s="75" t="inlineStr">
        <is>
          <t>Memo: interest expense</t>
        </is>
      </c>
      <c r="C97" s="92">
        <f>AVERAGE(C93,C96)*Inputs!$B$32</f>
        <v/>
      </c>
      <c r="D97" s="92">
        <f>AVERAGE(D93,D96)*Inputs!$B$32</f>
        <v/>
      </c>
      <c r="E97" s="92">
        <f>AVERAGE(E93,E96)*Inputs!$B$32</f>
        <v/>
      </c>
      <c r="F97" s="92">
        <f>AVERAGE(F93,F96)*Inputs!$B$32</f>
        <v/>
      </c>
      <c r="G97" s="92">
        <f>AVERAGE(G93,G96)*Inputs!$B$32</f>
        <v/>
      </c>
      <c r="H97" s="92">
        <f>AVERAGE(H93,H96)*Inputs!$B$32</f>
        <v/>
      </c>
      <c r="I97" s="92">
        <f>AVERAGE(I93,I96)*Inputs!$B$32</f>
        <v/>
      </c>
    </row>
    <row r="99" ht="14.25" customHeight="1" s="67">
      <c r="A99" s="75" t="inlineStr">
        <is>
          <t>Sum of PV of explicit FCFF (FY27E-FY33E)</t>
        </is>
      </c>
      <c r="C99" s="92">
        <f>SUM(C91:I91)</f>
        <v/>
      </c>
    </row>
    <row r="100" ht="14.25" customHeight="1" s="67">
      <c r="A100" s="75" t="inlineStr">
        <is>
          <t>Terminal value — Gordon Growth method</t>
        </is>
      </c>
      <c r="C100" s="92">
        <f>I87*(1+Inputs!$C$69)/(Inputs!$B$39-Inputs!$C$69)</f>
        <v/>
      </c>
    </row>
    <row r="101" ht="14.25" customHeight="1" s="67">
      <c r="A101" s="75" t="inlineStr">
        <is>
          <t>PV of terminal value — Gordon Growth</t>
        </is>
      </c>
      <c r="C101" s="92">
        <f>C100*I90</f>
        <v/>
      </c>
    </row>
    <row r="102" ht="14.25" customHeight="1" s="67">
      <c r="A102" s="75" t="inlineStr">
        <is>
          <t>Terminal value — Exit Multiple method</t>
        </is>
      </c>
      <c r="C102" s="92">
        <f>I70*Inputs!$C$70</f>
        <v/>
      </c>
    </row>
    <row r="103" ht="14.25" customHeight="1" s="67">
      <c r="A103" s="75" t="inlineStr">
        <is>
          <t>PV of terminal value — Exit Multiple</t>
        </is>
      </c>
      <c r="C103" s="92">
        <f>C102*I90</f>
        <v/>
      </c>
    </row>
    <row r="104" ht="14.25" customHeight="1" s="67">
      <c r="A104" s="73" t="inlineStr">
        <is>
          <t>Enterprise value — Gordon Growth method</t>
        </is>
      </c>
      <c r="C104" s="122">
        <f>C99+C101</f>
        <v/>
      </c>
    </row>
    <row r="105" ht="14.25" customHeight="1" s="67">
      <c r="A105" s="73" t="inlineStr">
        <is>
          <t>Enterprise value — Exit Multiple method</t>
        </is>
      </c>
      <c r="C105" s="122">
        <f>C99+C103</f>
        <v/>
      </c>
    </row>
    <row r="106" ht="14.25" customHeight="1" s="67">
      <c r="A106" s="75" t="inlineStr">
        <is>
          <t>Less: net debt / (net cash), FY26A</t>
        </is>
      </c>
      <c r="C106" s="92">
        <f>Inputs!$B$25</f>
        <v/>
      </c>
    </row>
    <row r="107" ht="14.25" customHeight="1" s="67">
      <c r="A107" s="73" t="inlineStr">
        <is>
          <t>Equity value — Gordon Growth method</t>
        </is>
      </c>
      <c r="C107" s="122">
        <f>C104-C106</f>
        <v/>
      </c>
    </row>
    <row r="108" ht="14.25" customHeight="1" s="67">
      <c r="A108" s="73" t="inlineStr">
        <is>
          <t>Equity value — Exit Multiple method</t>
        </is>
      </c>
      <c r="C108" s="122">
        <f>C105-C106</f>
        <v/>
      </c>
    </row>
    <row r="109" ht="14.25" customHeight="1" s="67">
      <c r="A109" s="75" t="inlineStr">
        <is>
          <t>Diluted shares outstanding (Cr)</t>
        </is>
      </c>
      <c r="C109" s="123">
        <f>Inputs!$B$8</f>
        <v/>
      </c>
    </row>
    <row r="110" ht="14.25" customHeight="1" s="67">
      <c r="A110" s="73" t="inlineStr">
        <is>
          <t>Implied share price — Gordon Growth (₹)</t>
        </is>
      </c>
      <c r="C110" s="95">
        <f>C107/C109</f>
        <v/>
      </c>
    </row>
    <row r="111" ht="14.25" customHeight="1" s="67">
      <c r="A111" s="73" t="inlineStr">
        <is>
          <t>Implied share price — Exit Multiple (₹)</t>
        </is>
      </c>
      <c r="C111" s="95">
        <f>C108/C109</f>
        <v/>
      </c>
    </row>
    <row r="112" ht="14.25" customHeight="1" s="67">
      <c r="A112" s="75" t="inlineStr">
        <is>
          <t>Current market price (₹)</t>
        </is>
      </c>
      <c r="C112" s="124">
        <f>Inputs!$B$7</f>
        <v/>
      </c>
    </row>
    <row r="113" ht="14.25" customHeight="1" s="67">
      <c r="A113" s="75" t="inlineStr">
        <is>
          <t>Upside / (downside) — Gordon Growth</t>
        </is>
      </c>
      <c r="C113" s="93">
        <f>C110/C112-1</f>
        <v/>
      </c>
    </row>
    <row r="114" ht="14.25" customHeight="1" s="67">
      <c r="A114" s="75" t="inlineStr">
        <is>
          <t>Upside / (downside) — Exit Multiple</t>
        </is>
      </c>
      <c r="C114" s="93">
        <f>C111/C112-1</f>
        <v/>
      </c>
    </row>
    <row r="117" ht="18" customHeight="1" s="67">
      <c r="A117" s="126" t="inlineStr">
        <is>
          <t>SCENARIO 3 OF 3  —  BEAR CASE</t>
        </is>
      </c>
      <c r="B117" s="117" t="n"/>
      <c r="C117" s="117" t="n"/>
      <c r="D117" s="117" t="n"/>
      <c r="E117" s="117" t="n"/>
      <c r="F117" s="117" t="n"/>
      <c r="G117" s="117" t="n"/>
      <c r="H117" s="117" t="n"/>
      <c r="I117" s="117" t="n"/>
    </row>
    <row r="118" ht="14.25" customHeight="1" s="67">
      <c r="A118" s="73" t="inlineStr">
        <is>
          <t>Line item</t>
        </is>
      </c>
      <c r="B118" s="119" t="inlineStr">
        <is>
          <t>FY26A</t>
        </is>
      </c>
      <c r="C118" s="90" t="inlineStr">
        <is>
          <t>FY27E</t>
        </is>
      </c>
      <c r="D118" s="90" t="inlineStr">
        <is>
          <t>FY28E</t>
        </is>
      </c>
      <c r="E118" s="90" t="inlineStr">
        <is>
          <t>FY29E</t>
        </is>
      </c>
      <c r="F118" s="90" t="inlineStr">
        <is>
          <t>FY30E</t>
        </is>
      </c>
      <c r="G118" s="90" t="inlineStr">
        <is>
          <t>FY31E</t>
        </is>
      </c>
      <c r="H118" s="90" t="inlineStr">
        <is>
          <t>FY32E</t>
        </is>
      </c>
      <c r="I118" s="90" t="inlineStr">
        <is>
          <t>FY33E</t>
        </is>
      </c>
    </row>
    <row r="119" ht="14.25" customHeight="1" s="67">
      <c r="A119" s="73" t="inlineStr">
        <is>
          <t>Revenue</t>
        </is>
      </c>
      <c r="B119" s="94">
        <f>Inputs!$B$12</f>
        <v/>
      </c>
      <c r="C119" s="120">
        <f>Inputs!$B$51</f>
        <v/>
      </c>
      <c r="D119" s="94">
        <f>C119*(1+Inputs!D75)</f>
        <v/>
      </c>
      <c r="E119" s="94">
        <f>D119*(1+Inputs!E75)</f>
        <v/>
      </c>
      <c r="F119" s="94">
        <f>E119*(1+Inputs!F75)</f>
        <v/>
      </c>
      <c r="G119" s="94">
        <f>F119*(1+Inputs!G75)</f>
        <v/>
      </c>
      <c r="H119" s="94">
        <f>G119*(1+Inputs!H75)</f>
        <v/>
      </c>
      <c r="I119" s="94">
        <f>H119*(1+Inputs!I75)</f>
        <v/>
      </c>
    </row>
    <row r="120" ht="14.25" customHeight="1" s="67">
      <c r="A120" s="75" t="inlineStr">
        <is>
          <t xml:space="preserve">   Revenue growth % YoY</t>
        </is>
      </c>
      <c r="C120" s="93">
        <f>C119/B119-1</f>
        <v/>
      </c>
      <c r="D120" s="93">
        <f>Inputs!D75</f>
        <v/>
      </c>
      <c r="E120" s="93">
        <f>Inputs!E75</f>
        <v/>
      </c>
      <c r="F120" s="93">
        <f>Inputs!F75</f>
        <v/>
      </c>
      <c r="G120" s="93">
        <f>Inputs!G75</f>
        <v/>
      </c>
      <c r="H120" s="93">
        <f>Inputs!H75</f>
        <v/>
      </c>
      <c r="I120" s="93">
        <f>Inputs!I75</f>
        <v/>
      </c>
    </row>
    <row r="122" ht="14.25" customHeight="1" s="67">
      <c r="A122" s="75" t="inlineStr">
        <is>
          <t>Cost of materials/goods consumed</t>
        </is>
      </c>
      <c r="C122" s="92">
        <f>C119*Inputs!C76</f>
        <v/>
      </c>
      <c r="D122" s="92">
        <f>D119*Inputs!D76</f>
        <v/>
      </c>
      <c r="E122" s="92">
        <f>E119*Inputs!E76</f>
        <v/>
      </c>
      <c r="F122" s="92">
        <f>F119*Inputs!F76</f>
        <v/>
      </c>
      <c r="G122" s="92">
        <f>G119*Inputs!G76</f>
        <v/>
      </c>
      <c r="H122" s="92">
        <f>H119*Inputs!H76</f>
        <v/>
      </c>
      <c r="I122" s="92">
        <f>I119*Inputs!I76</f>
        <v/>
      </c>
    </row>
    <row r="123" ht="14.25" customHeight="1" s="67">
      <c r="A123" s="75" t="inlineStr">
        <is>
          <t>Employee benefit expense</t>
        </is>
      </c>
      <c r="C123" s="92">
        <f>C119*Inputs!C77</f>
        <v/>
      </c>
      <c r="D123" s="92">
        <f>D119*Inputs!D77</f>
        <v/>
      </c>
      <c r="E123" s="92">
        <f>E119*Inputs!E77</f>
        <v/>
      </c>
      <c r="F123" s="92">
        <f>F119*Inputs!F77</f>
        <v/>
      </c>
      <c r="G123" s="92">
        <f>G119*Inputs!G77</f>
        <v/>
      </c>
      <c r="H123" s="92">
        <f>H119*Inputs!H77</f>
        <v/>
      </c>
      <c r="I123" s="92">
        <f>I119*Inputs!I77</f>
        <v/>
      </c>
    </row>
    <row r="124" ht="14.25" customHeight="1" s="67">
      <c r="A124" s="75" t="inlineStr">
        <is>
          <t>Delivery &amp; logistics expense</t>
        </is>
      </c>
      <c r="C124" s="92">
        <f>C119*Inputs!C78</f>
        <v/>
      </c>
      <c r="D124" s="92">
        <f>D119*Inputs!D78</f>
        <v/>
      </c>
      <c r="E124" s="92">
        <f>E119*Inputs!E78</f>
        <v/>
      </c>
      <c r="F124" s="92">
        <f>F119*Inputs!F78</f>
        <v/>
      </c>
      <c r="G124" s="92">
        <f>G119*Inputs!G78</f>
        <v/>
      </c>
      <c r="H124" s="92">
        <f>H119*Inputs!H78</f>
        <v/>
      </c>
      <c r="I124" s="92">
        <f>I119*Inputs!I78</f>
        <v/>
      </c>
    </row>
    <row r="125" ht="14.25" customHeight="1" s="67">
      <c r="A125" s="75" t="inlineStr">
        <is>
          <t>Marketing, technology &amp; other opex</t>
        </is>
      </c>
      <c r="C125" s="92">
        <f>C119*Inputs!C79</f>
        <v/>
      </c>
      <c r="D125" s="92">
        <f>D119*Inputs!D79</f>
        <v/>
      </c>
      <c r="E125" s="92">
        <f>E119*Inputs!E79</f>
        <v/>
      </c>
      <c r="F125" s="92">
        <f>F119*Inputs!F79</f>
        <v/>
      </c>
      <c r="G125" s="92">
        <f>G119*Inputs!G79</f>
        <v/>
      </c>
      <c r="H125" s="92">
        <f>H119*Inputs!H79</f>
        <v/>
      </c>
      <c r="I125" s="92">
        <f>I119*Inputs!I79</f>
        <v/>
      </c>
    </row>
    <row r="126" ht="14.25" customHeight="1" s="67">
      <c r="A126" s="75" t="inlineStr">
        <is>
          <t>Total operating expenses</t>
        </is>
      </c>
      <c r="C126" s="92">
        <f>SUM(C122:C125)</f>
        <v/>
      </c>
      <c r="D126" s="92">
        <f>SUM(D122:D125)</f>
        <v/>
      </c>
      <c r="E126" s="92">
        <f>SUM(E122:E125)</f>
        <v/>
      </c>
      <c r="F126" s="92">
        <f>SUM(F122:F125)</f>
        <v/>
      </c>
      <c r="G126" s="92">
        <f>SUM(G122:G125)</f>
        <v/>
      </c>
      <c r="H126" s="92">
        <f>SUM(H122:H125)</f>
        <v/>
      </c>
      <c r="I126" s="92">
        <f>SUM(I122:I125)</f>
        <v/>
      </c>
    </row>
    <row r="127" ht="14.25" customHeight="1" s="67">
      <c r="A127" s="73" t="inlineStr">
        <is>
          <t>EBITDA</t>
        </is>
      </c>
      <c r="B127" s="94">
        <f>Inputs!$B$13</f>
        <v/>
      </c>
      <c r="C127" s="94">
        <f>C119-C126</f>
        <v/>
      </c>
      <c r="D127" s="94">
        <f>D119-D126</f>
        <v/>
      </c>
      <c r="E127" s="94">
        <f>E119-E126</f>
        <v/>
      </c>
      <c r="F127" s="94">
        <f>F119-F126</f>
        <v/>
      </c>
      <c r="G127" s="94">
        <f>G119-G126</f>
        <v/>
      </c>
      <c r="H127" s="94">
        <f>H119-H126</f>
        <v/>
      </c>
      <c r="I127" s="94">
        <f>I119-I126</f>
        <v/>
      </c>
    </row>
    <row r="128" ht="14.25" customHeight="1" s="67">
      <c r="A128" s="75" t="inlineStr">
        <is>
          <t xml:space="preserve">   EBITDA margin %</t>
        </is>
      </c>
      <c r="B128" s="93">
        <f>B127/B119</f>
        <v/>
      </c>
      <c r="C128" s="93">
        <f>C127/C119</f>
        <v/>
      </c>
      <c r="D128" s="93">
        <f>D127/D119</f>
        <v/>
      </c>
      <c r="E128" s="93">
        <f>E127/E119</f>
        <v/>
      </c>
      <c r="F128" s="93">
        <f>F127/F119</f>
        <v/>
      </c>
      <c r="G128" s="93">
        <f>G127/G119</f>
        <v/>
      </c>
      <c r="H128" s="93">
        <f>H127/H119</f>
        <v/>
      </c>
      <c r="I128" s="93">
        <f>I127/I119</f>
        <v/>
      </c>
    </row>
    <row r="130" ht="14.25" customHeight="1" s="67">
      <c r="A130" s="75" t="inlineStr">
        <is>
          <t>Opening net block (PP&amp;E)</t>
        </is>
      </c>
      <c r="C130" s="92">
        <f>B133</f>
        <v/>
      </c>
      <c r="D130" s="92">
        <f>C133</f>
        <v/>
      </c>
      <c r="E130" s="92">
        <f>D133</f>
        <v/>
      </c>
      <c r="F130" s="92">
        <f>E133</f>
        <v/>
      </c>
      <c r="G130" s="92">
        <f>F133</f>
        <v/>
      </c>
      <c r="H130" s="92">
        <f>G133</f>
        <v/>
      </c>
      <c r="I130" s="92">
        <f>H133</f>
        <v/>
      </c>
    </row>
    <row r="131" ht="14.25" customHeight="1" s="67">
      <c r="A131" s="75" t="inlineStr">
        <is>
          <t>Capital expenditure</t>
        </is>
      </c>
      <c r="C131" s="92">
        <f>C119*Inputs!C80</f>
        <v/>
      </c>
      <c r="D131" s="92">
        <f>D119*Inputs!D80</f>
        <v/>
      </c>
      <c r="E131" s="92">
        <f>E119*Inputs!E80</f>
        <v/>
      </c>
      <c r="F131" s="92">
        <f>F119*Inputs!F80</f>
        <v/>
      </c>
      <c r="G131" s="92">
        <f>G119*Inputs!G80</f>
        <v/>
      </c>
      <c r="H131" s="92">
        <f>H119*Inputs!H80</f>
        <v/>
      </c>
      <c r="I131" s="92">
        <f>I119*Inputs!I80</f>
        <v/>
      </c>
    </row>
    <row r="132" ht="14.25" customHeight="1" s="67">
      <c r="A132" s="75" t="inlineStr">
        <is>
          <t>Depreciation &amp; amortization</t>
        </is>
      </c>
      <c r="B132" s="92">
        <f>Inputs!$B$15</f>
        <v/>
      </c>
      <c r="C132" s="92">
        <f>C130*Inputs!C43</f>
        <v/>
      </c>
      <c r="D132" s="92">
        <f>D130*Inputs!D43</f>
        <v/>
      </c>
      <c r="E132" s="92">
        <f>E130*Inputs!E43</f>
        <v/>
      </c>
      <c r="F132" s="92">
        <f>F130*Inputs!F43</f>
        <v/>
      </c>
      <c r="G132" s="92">
        <f>G130*Inputs!G43</f>
        <v/>
      </c>
      <c r="H132" s="92">
        <f>H130*Inputs!H43</f>
        <v/>
      </c>
      <c r="I132" s="92">
        <f>I130*Inputs!I43</f>
        <v/>
      </c>
    </row>
    <row r="133" ht="14.25" customHeight="1" s="67">
      <c r="A133" s="75" t="inlineStr">
        <is>
          <t>Closing net block (PP&amp;E)</t>
        </is>
      </c>
      <c r="B133" s="92">
        <f>Inputs!$B$22</f>
        <v/>
      </c>
      <c r="C133" s="92">
        <f>C130+C131-C132</f>
        <v/>
      </c>
      <c r="D133" s="92">
        <f>D130+D131-D132</f>
        <v/>
      </c>
      <c r="E133" s="92">
        <f>E130+E131-E132</f>
        <v/>
      </c>
      <c r="F133" s="92">
        <f>F130+F131-F132</f>
        <v/>
      </c>
      <c r="G133" s="92">
        <f>G130+G131-G132</f>
        <v/>
      </c>
      <c r="H133" s="92">
        <f>H130+H131-H132</f>
        <v/>
      </c>
      <c r="I133" s="92">
        <f>I130+I131-I132</f>
        <v/>
      </c>
    </row>
    <row r="135" ht="14.25" customHeight="1" s="67">
      <c r="A135" s="75" t="inlineStr">
        <is>
          <t>EBIT</t>
        </is>
      </c>
      <c r="B135" s="92">
        <f>B127-B132</f>
        <v/>
      </c>
      <c r="C135" s="92">
        <f>C127-C132</f>
        <v/>
      </c>
      <c r="D135" s="92">
        <f>D127-D132</f>
        <v/>
      </c>
      <c r="E135" s="92">
        <f>E127-E132</f>
        <v/>
      </c>
      <c r="F135" s="92">
        <f>F127-F132</f>
        <v/>
      </c>
      <c r="G135" s="92">
        <f>G127-G132</f>
        <v/>
      </c>
      <c r="H135" s="92">
        <f>H127-H132</f>
        <v/>
      </c>
      <c r="I135" s="92">
        <f>I127-I132</f>
        <v/>
      </c>
    </row>
    <row r="136" ht="14.25" customHeight="1" s="67">
      <c r="A136" s="75" t="inlineStr">
        <is>
          <t xml:space="preserve">   Effective tax rate %</t>
        </is>
      </c>
      <c r="B136" s="93">
        <f>Inputs!$B$20</f>
        <v/>
      </c>
      <c r="C136" s="93">
        <f>Inputs!C45</f>
        <v/>
      </c>
      <c r="D136" s="93">
        <f>Inputs!D45</f>
        <v/>
      </c>
      <c r="E136" s="93">
        <f>Inputs!E45</f>
        <v/>
      </c>
      <c r="F136" s="93">
        <f>Inputs!F45</f>
        <v/>
      </c>
      <c r="G136" s="93">
        <f>Inputs!G45</f>
        <v/>
      </c>
      <c r="H136" s="93">
        <f>Inputs!H45</f>
        <v/>
      </c>
      <c r="I136" s="93">
        <f>Inputs!I45</f>
        <v/>
      </c>
    </row>
    <row r="137" ht="14.25" customHeight="1" s="67">
      <c r="A137" s="75" t="inlineStr">
        <is>
          <t>Less: tax on EBIT</t>
        </is>
      </c>
      <c r="C137" s="92">
        <f>MAX(C135,0)*C136</f>
        <v/>
      </c>
      <c r="D137" s="92">
        <f>MAX(D135,0)*D136</f>
        <v/>
      </c>
      <c r="E137" s="92">
        <f>MAX(E135,0)*E136</f>
        <v/>
      </c>
      <c r="F137" s="92">
        <f>MAX(F135,0)*F136</f>
        <v/>
      </c>
      <c r="G137" s="92">
        <f>MAX(G135,0)*G136</f>
        <v/>
      </c>
      <c r="H137" s="92">
        <f>MAX(H135,0)*H136</f>
        <v/>
      </c>
      <c r="I137" s="92">
        <f>MAX(I135,0)*I136</f>
        <v/>
      </c>
    </row>
    <row r="138" ht="14.25" customHeight="1" s="67">
      <c r="A138" s="75" t="inlineStr">
        <is>
          <t>NOPAT</t>
        </is>
      </c>
      <c r="C138" s="92">
        <f>C135-C137</f>
        <v/>
      </c>
      <c r="D138" s="92">
        <f>D135-D137</f>
        <v/>
      </c>
      <c r="E138" s="92">
        <f>E135-E137</f>
        <v/>
      </c>
      <c r="F138" s="92">
        <f>F135-F137</f>
        <v/>
      </c>
      <c r="G138" s="92">
        <f>G135-G137</f>
        <v/>
      </c>
      <c r="H138" s="92">
        <f>H135-H137</f>
        <v/>
      </c>
      <c r="I138" s="92">
        <f>I135-I137</f>
        <v/>
      </c>
    </row>
    <row r="140" ht="14.25" customHeight="1" s="67">
      <c r="A140" s="75" t="inlineStr">
        <is>
          <t>Add: depreciation &amp; amortization</t>
        </is>
      </c>
      <c r="C140" s="92">
        <f>C132</f>
        <v/>
      </c>
      <c r="D140" s="92">
        <f>D132</f>
        <v/>
      </c>
      <c r="E140" s="92">
        <f>E132</f>
        <v/>
      </c>
      <c r="F140" s="92">
        <f>F132</f>
        <v/>
      </c>
      <c r="G140" s="92">
        <f>G132</f>
        <v/>
      </c>
      <c r="H140" s="92">
        <f>H132</f>
        <v/>
      </c>
      <c r="I140" s="92">
        <f>I132</f>
        <v/>
      </c>
    </row>
    <row r="141" ht="14.25" customHeight="1" s="67">
      <c r="A141" s="75" t="inlineStr">
        <is>
          <t>Less: capital expenditure</t>
        </is>
      </c>
      <c r="C141" s="92">
        <f>-C131</f>
        <v/>
      </c>
      <c r="D141" s="92">
        <f>-D131</f>
        <v/>
      </c>
      <c r="E141" s="92">
        <f>-E131</f>
        <v/>
      </c>
      <c r="F141" s="92">
        <f>-F131</f>
        <v/>
      </c>
      <c r="G141" s="92">
        <f>-G131</f>
        <v/>
      </c>
      <c r="H141" s="92">
        <f>-H131</f>
        <v/>
      </c>
      <c r="I141" s="92">
        <f>-I131</f>
        <v/>
      </c>
    </row>
    <row r="142" ht="14.25" customHeight="1" s="67">
      <c r="A142" s="75" t="inlineStr">
        <is>
          <t xml:space="preserve">   Net working capital balance</t>
        </is>
      </c>
      <c r="B142" s="92">
        <f>Inputs!$B$12*Inputs!$C$44</f>
        <v/>
      </c>
      <c r="C142" s="92">
        <f>C119*Inputs!C44</f>
        <v/>
      </c>
      <c r="D142" s="92">
        <f>D119*Inputs!D44</f>
        <v/>
      </c>
      <c r="E142" s="92">
        <f>E119*Inputs!E44</f>
        <v/>
      </c>
      <c r="F142" s="92">
        <f>F119*Inputs!F44</f>
        <v/>
      </c>
      <c r="G142" s="92">
        <f>G119*Inputs!G44</f>
        <v/>
      </c>
      <c r="H142" s="92">
        <f>H119*Inputs!H44</f>
        <v/>
      </c>
      <c r="I142" s="92">
        <f>I119*Inputs!I44</f>
        <v/>
      </c>
    </row>
    <row r="143" ht="14.25" customHeight="1" s="67">
      <c r="A143" s="75" t="inlineStr">
        <is>
          <t>Less: increase/(decrease) in NWC</t>
        </is>
      </c>
      <c r="C143" s="92">
        <f>-(C142-B142)</f>
        <v/>
      </c>
      <c r="D143" s="92">
        <f>-(D142-C142)</f>
        <v/>
      </c>
      <c r="E143" s="92">
        <f>-(E142-D142)</f>
        <v/>
      </c>
      <c r="F143" s="92">
        <f>-(F142-E142)</f>
        <v/>
      </c>
      <c r="G143" s="92">
        <f>-(G142-F142)</f>
        <v/>
      </c>
      <c r="H143" s="92">
        <f>-(H142-G142)</f>
        <v/>
      </c>
      <c r="I143" s="92">
        <f>-(I142-H142)</f>
        <v/>
      </c>
    </row>
    <row r="144" ht="14.25" customHeight="1" s="67">
      <c r="A144" s="73" t="inlineStr">
        <is>
          <t>Unlevered free cash flow (FCFF)</t>
        </is>
      </c>
      <c r="C144" s="94">
        <f>C138+C140+C141+C143</f>
        <v/>
      </c>
      <c r="D144" s="94">
        <f>D138+D140+D141+D143</f>
        <v/>
      </c>
      <c r="E144" s="94">
        <f>E138+E140+E141+E143</f>
        <v/>
      </c>
      <c r="F144" s="94">
        <f>F138+F140+F141+F143</f>
        <v/>
      </c>
      <c r="G144" s="94">
        <f>G138+G140+G141+G143</f>
        <v/>
      </c>
      <c r="H144" s="94">
        <f>H138+H140+H141+H143</f>
        <v/>
      </c>
      <c r="I144" s="94">
        <f>I138+I140+I141+I143</f>
        <v/>
      </c>
    </row>
    <row r="146" ht="14.25" customHeight="1" s="67">
      <c r="A146" s="75" t="inlineStr">
        <is>
          <t>Discount period (years)</t>
        </is>
      </c>
      <c r="C146" s="75" t="n">
        <v>1</v>
      </c>
      <c r="D146" s="75" t="n">
        <v>2</v>
      </c>
      <c r="E146" s="75" t="n">
        <v>3</v>
      </c>
      <c r="F146" s="75" t="n">
        <v>4</v>
      </c>
      <c r="G146" s="75" t="n">
        <v>5</v>
      </c>
      <c r="H146" s="75" t="n">
        <v>6</v>
      </c>
      <c r="I146" s="75" t="n">
        <v>7</v>
      </c>
    </row>
    <row r="147" ht="14.25" customHeight="1" s="67">
      <c r="A147" s="75" t="inlineStr">
        <is>
          <t>Discount factor @ WACC</t>
        </is>
      </c>
      <c r="C147" s="121">
        <f>1/(1+Inputs!$B$39)^C146</f>
        <v/>
      </c>
      <c r="D147" s="121">
        <f>1/(1+Inputs!$B$39)^D146</f>
        <v/>
      </c>
      <c r="E147" s="121">
        <f>1/(1+Inputs!$B$39)^E146</f>
        <v/>
      </c>
      <c r="F147" s="121">
        <f>1/(1+Inputs!$B$39)^F146</f>
        <v/>
      </c>
      <c r="G147" s="121">
        <f>1/(1+Inputs!$B$39)^G146</f>
        <v/>
      </c>
      <c r="H147" s="121">
        <f>1/(1+Inputs!$B$39)^H146</f>
        <v/>
      </c>
      <c r="I147" s="121">
        <f>1/(1+Inputs!$B$39)^I146</f>
        <v/>
      </c>
    </row>
    <row r="148" ht="14.25" customHeight="1" s="67">
      <c r="A148" s="75" t="inlineStr">
        <is>
          <t>PV of FCFF</t>
        </is>
      </c>
      <c r="C148" s="92">
        <f>C144*C147</f>
        <v/>
      </c>
      <c r="D148" s="92">
        <f>D144*D147</f>
        <v/>
      </c>
      <c r="E148" s="92">
        <f>E144*E147</f>
        <v/>
      </c>
      <c r="F148" s="92">
        <f>F144*F147</f>
        <v/>
      </c>
      <c r="G148" s="92">
        <f>G144*G147</f>
        <v/>
      </c>
      <c r="H148" s="92">
        <f>H144*H147</f>
        <v/>
      </c>
      <c r="I148" s="92">
        <f>I144*I147</f>
        <v/>
      </c>
    </row>
    <row r="150" ht="14.25" customHeight="1" s="67">
      <c r="A150" s="75" t="inlineStr">
        <is>
          <t>Opening debt / lease liabilities</t>
        </is>
      </c>
      <c r="C150" s="92">
        <f>B153</f>
        <v/>
      </c>
      <c r="D150" s="92">
        <f>C153</f>
        <v/>
      </c>
      <c r="E150" s="92">
        <f>D153</f>
        <v/>
      </c>
      <c r="F150" s="92">
        <f>E153</f>
        <v/>
      </c>
      <c r="G150" s="92">
        <f>F153</f>
        <v/>
      </c>
      <c r="H150" s="92">
        <f>G153</f>
        <v/>
      </c>
      <c r="I150" s="92">
        <f>H153</f>
        <v/>
      </c>
    </row>
    <row r="151" ht="14.25" customHeight="1" s="67">
      <c r="A151" s="75" t="inlineStr">
        <is>
          <t>Add: new lease liability additions</t>
        </is>
      </c>
      <c r="C151" s="92">
        <f>C131*Inputs!C46</f>
        <v/>
      </c>
      <c r="D151" s="92">
        <f>D131*Inputs!D46</f>
        <v/>
      </c>
      <c r="E151" s="92">
        <f>E131*Inputs!E46</f>
        <v/>
      </c>
      <c r="F151" s="92">
        <f>F131*Inputs!F46</f>
        <v/>
      </c>
      <c r="G151" s="92">
        <f>G131*Inputs!G46</f>
        <v/>
      </c>
      <c r="H151" s="92">
        <f>H131*Inputs!H46</f>
        <v/>
      </c>
      <c r="I151" s="92">
        <f>I131*Inputs!I46</f>
        <v/>
      </c>
    </row>
    <row r="152" ht="14.25" customHeight="1" s="67">
      <c r="A152" s="75" t="inlineStr">
        <is>
          <t>Less: repayments</t>
        </is>
      </c>
      <c r="C152" s="92">
        <f>C150*Inputs!C47</f>
        <v/>
      </c>
      <c r="D152" s="92">
        <f>D150*Inputs!D47</f>
        <v/>
      </c>
      <c r="E152" s="92">
        <f>E150*Inputs!E47</f>
        <v/>
      </c>
      <c r="F152" s="92">
        <f>F150*Inputs!F47</f>
        <v/>
      </c>
      <c r="G152" s="92">
        <f>G150*Inputs!G47</f>
        <v/>
      </c>
      <c r="H152" s="92">
        <f>H150*Inputs!H47</f>
        <v/>
      </c>
      <c r="I152" s="92">
        <f>I150*Inputs!I47</f>
        <v/>
      </c>
    </row>
    <row r="153" ht="14.25" customHeight="1" s="67">
      <c r="A153" s="75" t="inlineStr">
        <is>
          <t>Closing debt / lease liabilities</t>
        </is>
      </c>
      <c r="B153" s="92">
        <f>Inputs!$B$23</f>
        <v/>
      </c>
      <c r="C153" s="92">
        <f>C150+C151-C152</f>
        <v/>
      </c>
      <c r="D153" s="92">
        <f>D150+D151-D152</f>
        <v/>
      </c>
      <c r="E153" s="92">
        <f>E150+E151-E152</f>
        <v/>
      </c>
      <c r="F153" s="92">
        <f>F150+F151-F152</f>
        <v/>
      </c>
      <c r="G153" s="92">
        <f>G150+G151-G152</f>
        <v/>
      </c>
      <c r="H153" s="92">
        <f>H150+H151-H152</f>
        <v/>
      </c>
      <c r="I153" s="92">
        <f>I150+I151-I152</f>
        <v/>
      </c>
    </row>
    <row r="154" ht="14.25" customHeight="1" s="67">
      <c r="A154" s="75" t="inlineStr">
        <is>
          <t>Memo: interest expense</t>
        </is>
      </c>
      <c r="C154" s="92">
        <f>AVERAGE(C150,C153)*Inputs!$B$32</f>
        <v/>
      </c>
      <c r="D154" s="92">
        <f>AVERAGE(D150,D153)*Inputs!$B$32</f>
        <v/>
      </c>
      <c r="E154" s="92">
        <f>AVERAGE(E150,E153)*Inputs!$B$32</f>
        <v/>
      </c>
      <c r="F154" s="92">
        <f>AVERAGE(F150,F153)*Inputs!$B$32</f>
        <v/>
      </c>
      <c r="G154" s="92">
        <f>AVERAGE(G150,G153)*Inputs!$B$32</f>
        <v/>
      </c>
      <c r="H154" s="92">
        <f>AVERAGE(H150,H153)*Inputs!$B$32</f>
        <v/>
      </c>
      <c r="I154" s="92">
        <f>AVERAGE(I150,I153)*Inputs!$B$32</f>
        <v/>
      </c>
    </row>
    <row r="156" ht="14.25" customHeight="1" s="67">
      <c r="A156" s="75" t="inlineStr">
        <is>
          <t>Sum of PV of explicit FCFF (FY27E-FY33E)</t>
        </is>
      </c>
      <c r="C156" s="92">
        <f>SUM(C148:I148)</f>
        <v/>
      </c>
    </row>
    <row r="157" ht="14.25" customHeight="1" s="67">
      <c r="A157" s="75" t="inlineStr">
        <is>
          <t>Terminal value — Gordon Growth method</t>
        </is>
      </c>
      <c r="C157" s="92">
        <f>I144*(1+Inputs!$C$81)/(Inputs!$B$39-Inputs!$C$81)</f>
        <v/>
      </c>
    </row>
    <row r="158" ht="14.25" customHeight="1" s="67">
      <c r="A158" s="75" t="inlineStr">
        <is>
          <t>PV of terminal value — Gordon Growth</t>
        </is>
      </c>
      <c r="C158" s="92">
        <f>C157*I147</f>
        <v/>
      </c>
    </row>
    <row r="159" ht="14.25" customHeight="1" s="67">
      <c r="A159" s="75" t="inlineStr">
        <is>
          <t>Terminal value — Exit Multiple method</t>
        </is>
      </c>
      <c r="C159" s="92">
        <f>I127*Inputs!$C$82</f>
        <v/>
      </c>
    </row>
    <row r="160" ht="14.25" customHeight="1" s="67">
      <c r="A160" s="75" t="inlineStr">
        <is>
          <t>PV of terminal value — Exit Multiple</t>
        </is>
      </c>
      <c r="C160" s="92">
        <f>C159*I147</f>
        <v/>
      </c>
    </row>
    <row r="161" ht="14.25" customHeight="1" s="67">
      <c r="A161" s="73" t="inlineStr">
        <is>
          <t>Enterprise value — Gordon Growth method</t>
        </is>
      </c>
      <c r="C161" s="122">
        <f>C156+C158</f>
        <v/>
      </c>
    </row>
    <row r="162" ht="14.25" customHeight="1" s="67">
      <c r="A162" s="73" t="inlineStr">
        <is>
          <t>Enterprise value — Exit Multiple method</t>
        </is>
      </c>
      <c r="C162" s="122">
        <f>C156+C160</f>
        <v/>
      </c>
    </row>
    <row r="163" ht="14.25" customHeight="1" s="67">
      <c r="A163" s="75" t="inlineStr">
        <is>
          <t>Less: net debt / (net cash), FY26A</t>
        </is>
      </c>
      <c r="C163" s="92">
        <f>Inputs!$B$25</f>
        <v/>
      </c>
    </row>
    <row r="164" ht="14.25" customHeight="1" s="67">
      <c r="A164" s="73" t="inlineStr">
        <is>
          <t>Equity value — Gordon Growth method</t>
        </is>
      </c>
      <c r="C164" s="122">
        <f>C161-C163</f>
        <v/>
      </c>
    </row>
    <row r="165" ht="14.25" customHeight="1" s="67">
      <c r="A165" s="73" t="inlineStr">
        <is>
          <t>Equity value — Exit Multiple method</t>
        </is>
      </c>
      <c r="C165" s="122">
        <f>C162-C163</f>
        <v/>
      </c>
    </row>
    <row r="166" ht="14.25" customHeight="1" s="67">
      <c r="A166" s="75" t="inlineStr">
        <is>
          <t>Diluted shares outstanding (Cr)</t>
        </is>
      </c>
      <c r="C166" s="123">
        <f>Inputs!$B$8</f>
        <v/>
      </c>
    </row>
    <row r="167" ht="14.25" customHeight="1" s="67">
      <c r="A167" s="73" t="inlineStr">
        <is>
          <t>Implied share price — Gordon Growth (₹)</t>
        </is>
      </c>
      <c r="C167" s="95">
        <f>C164/C166</f>
        <v/>
      </c>
    </row>
    <row r="168" ht="14.25" customHeight="1" s="67">
      <c r="A168" s="73" t="inlineStr">
        <is>
          <t>Implied share price — Exit Multiple (₹)</t>
        </is>
      </c>
      <c r="C168" s="95">
        <f>C165/C166</f>
        <v/>
      </c>
    </row>
    <row r="169" ht="14.25" customHeight="1" s="67">
      <c r="A169" s="75" t="inlineStr">
        <is>
          <t>Current market price (₹)</t>
        </is>
      </c>
      <c r="C169" s="124">
        <f>Inputs!$B$7</f>
        <v/>
      </c>
    </row>
    <row r="170" ht="14.25" customHeight="1" s="67">
      <c r="A170" s="75" t="inlineStr">
        <is>
          <t>Upside / (downside) — Gordon Growth</t>
        </is>
      </c>
      <c r="C170" s="93">
        <f>C167/C169-1</f>
        <v/>
      </c>
    </row>
    <row r="171" ht="14.25" customHeight="1" s="67">
      <c r="A171" s="75" t="inlineStr">
        <is>
          <t>Upside / (downside) — Exit Multiple</t>
        </is>
      </c>
      <c r="C171" s="93">
        <f>C168/C169-1</f>
        <v/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D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7" activeCellId="0" sqref="C27"/>
    </sheetView>
  </sheetViews>
  <sheetFormatPr baseColWidth="8" defaultColWidth="8.6328125" defaultRowHeight="14.25" zeroHeight="0" outlineLevelRow="0"/>
  <cols>
    <col width="34" customWidth="1" style="66" min="1" max="1"/>
    <col width="28" customWidth="1" style="66" min="2" max="2"/>
    <col width="122.45" customWidth="1" style="66" min="3" max="3"/>
    <col width="42" customWidth="1" style="66" min="4" max="4"/>
  </cols>
  <sheetData>
    <row r="1" ht="52.5" customHeight="1" s="67">
      <c r="A1" s="127" t="inlineStr">
        <is>
          <t>Eternal DCF — Sources &amp; Assumption Audit</t>
        </is>
      </c>
      <c r="B1" s="127" t="inlineStr">
        <is>
          <t>Updated 26-Sep-2026; valuation date 24-Sep-2026</t>
        </is>
      </c>
      <c r="C1" s="127" t="n"/>
      <c r="D1" s="127" t="n"/>
    </row>
    <row r="2" ht="14.25" customHeight="1" s="67">
      <c r="A2" s="128" t="inlineStr">
        <is>
          <t>Item</t>
        </is>
      </c>
      <c r="B2" s="128" t="inlineStr">
        <is>
          <t>Value / assumption</t>
        </is>
      </c>
      <c r="C2" s="128" t="inlineStr">
        <is>
          <t>Why used / explanation</t>
        </is>
      </c>
      <c r="D2" s="128" t="inlineStr">
        <is>
          <t>Source</t>
        </is>
      </c>
    </row>
    <row r="3" ht="14.25" customHeight="1" s="67">
      <c r="A3" s="129" t="inlineStr">
        <is>
          <t>FY26 revenue</t>
        </is>
      </c>
      <c r="B3" s="129" t="n">
        <v>54364</v>
      </c>
      <c r="C3" s="129" t="inlineStr">
        <is>
          <t>Audited consolidated FY26 revenue; starting point for model.</t>
        </is>
      </c>
      <c r="D3" s="129" t="inlineStr">
        <is>
          <t>Eternal FY26 audited results / NSE filing</t>
        </is>
      </c>
    </row>
    <row r="4" ht="14.25" customHeight="1" s="67">
      <c r="A4" s="129" t="inlineStr">
        <is>
          <t>FY26 EBITDA</t>
        </is>
      </c>
      <c r="B4" s="129" t="n">
        <v>1208</v>
      </c>
      <c r="C4" s="129" t="inlineStr">
        <is>
          <t>Historical adjusted operating profit used to anchor margin.</t>
        </is>
      </c>
      <c r="D4" s="129" t="inlineStr">
        <is>
          <t>Eternal FY26 audited results</t>
        </is>
      </c>
    </row>
    <row r="5" ht="14.25" customHeight="1" s="67">
      <c r="A5" s="129" t="inlineStr">
        <is>
          <t>FY26 D&amp;A</t>
        </is>
      </c>
      <c r="B5" s="129" t="n">
        <v>1597</v>
      </c>
      <c r="C5" s="129" t="inlineStr">
        <is>
          <t>Used to bridge EBITDA to EBIT and calculate FCFF.</t>
        </is>
      </c>
      <c r="D5" s="129" t="inlineStr">
        <is>
          <t>Eternal FY26 audited results</t>
        </is>
      </c>
    </row>
    <row r="6" ht="14.25" customHeight="1" s="67">
      <c r="A6" s="129" t="inlineStr">
        <is>
          <t>FY26 liquid investments + cash</t>
        </is>
      </c>
      <c r="B6" s="129" t="n">
        <v>16356</v>
      </c>
      <c r="C6" s="129" t="inlineStr">
        <is>
          <t>9,742 non-current investments + 5,091 current investments + 996 cash + 527 bank balances.</t>
        </is>
      </c>
      <c r="D6" s="129" t="inlineStr">
        <is>
          <t>Eternal FY26 audited balance sheet</t>
        </is>
      </c>
    </row>
    <row r="7" ht="14.25" customHeight="1" s="67">
      <c r="A7" s="129" t="inlineStr">
        <is>
          <t>FY26 lease/borrowings</t>
        </is>
      </c>
      <c r="B7" s="129" t="n">
        <v>4592</v>
      </c>
      <c r="C7" s="129" t="inlineStr">
        <is>
          <t>Used for capital structure and equity bridge; largely lease liabilities.</t>
        </is>
      </c>
      <c r="D7" s="129" t="inlineStr">
        <is>
          <t>Eternal FY26 audited balance sheet</t>
        </is>
      </c>
    </row>
    <row r="8" ht="14.25" customHeight="1" s="67">
      <c r="A8" s="129" t="inlineStr">
        <is>
          <t>FY26 net cash</t>
        </is>
      </c>
      <c r="B8" s="129" t="n">
        <v>11764</v>
      </c>
      <c r="C8" s="129" t="inlineStr">
        <is>
          <t>16,356 liquid assets less 4,592 liabilities. Added to EV to get equity value.</t>
        </is>
      </c>
      <c r="D8" s="129" t="inlineStr">
        <is>
          <t>Derived from audited FY26 balance sheet</t>
        </is>
      </c>
    </row>
    <row r="9" ht="14.25" customHeight="1" s="67">
      <c r="A9" s="129" t="inlineStr">
        <is>
          <t>24-Sep-2026 share price</t>
        </is>
      </c>
      <c r="B9" s="129" t="n">
        <v>335.5</v>
      </c>
      <c r="C9" s="129" t="inlineStr">
        <is>
          <t>NSE closing price on valuation date; avoids mixing dates.</t>
        </is>
      </c>
      <c r="D9" s="129" t="inlineStr">
        <is>
          <t>S&amp;P Global/StockAnalysis historical price</t>
        </is>
      </c>
    </row>
    <row r="10" ht="14.25" customHeight="1" s="67">
      <c r="A10" s="129" t="inlineStr">
        <is>
          <t>Shares</t>
        </is>
      </c>
      <c r="B10" s="129" t="n">
        <v>920</v>
      </c>
      <c r="C10" s="129" t="inlineStr">
        <is>
          <t>Approx. Q1 FY27 diluted weighted-average shares / current share count.</t>
        </is>
      </c>
      <c r="D10" s="129" t="inlineStr">
        <is>
          <t>FY27 Q1 results / market data</t>
        </is>
      </c>
    </row>
    <row r="11" ht="14.25" customHeight="1" s="67">
      <c r="A11" s="129" t="inlineStr">
        <is>
          <t>Risk-free rate</t>
        </is>
      </c>
      <c r="B11" s="129" t="n">
        <v>0.07111000000000001</v>
      </c>
      <c r="C11" s="129" t="inlineStr">
        <is>
          <t>India 10Y G-Sec yield on valuation date.</t>
        </is>
      </c>
      <c r="D11" s="129" t="inlineStr">
        <is>
          <t>Investing.com historical India 10Y data</t>
        </is>
      </c>
    </row>
    <row r="12" ht="14.25" customHeight="1" s="67">
      <c r="A12" s="129" t="inlineStr">
        <is>
          <t>India ERP</t>
        </is>
      </c>
      <c r="B12" s="129" t="n">
        <v>0.0708</v>
      </c>
      <c r="C12" s="129" t="inlineStr">
        <is>
          <t>Damodaran Jan-2026 India equity risk premium dataset; close to original 7%.</t>
        </is>
      </c>
      <c r="D12" s="129" t="inlineStr">
        <is>
          <t>NYU Stern / Damodaran</t>
        </is>
      </c>
    </row>
    <row r="13" ht="14.25" customHeight="1" s="67">
      <c r="A13" s="129" t="inlineStr">
        <is>
          <t>Beta</t>
        </is>
      </c>
      <c r="B13" s="129" t="n">
        <v>1.36</v>
      </c>
      <c r="C13" s="129" t="inlineStr">
        <is>
          <t>Observed 1-year beta around valuation date; used rather than an unsupported 1.35 estimate.</t>
        </is>
      </c>
      <c r="D13" s="129" t="inlineStr">
        <is>
          <t>Alloqo Sep-2026 market data</t>
        </is>
      </c>
    </row>
    <row r="14" ht="28.5" customHeight="1" s="67">
      <c r="A14" s="129" t="inlineStr">
        <is>
          <t>Pre-tax debt cost</t>
        </is>
      </c>
      <c r="B14" s="129" t="n">
        <v>0.08500000000000001</v>
      </c>
      <c r="C14" s="129" t="inlineStr">
        <is>
          <t>Rounded estimate near FY26 finance cost / lease-borrowing base; debt weight is small so sensitivity is limited.</t>
        </is>
      </c>
      <c r="D14" s="129" t="inlineStr">
        <is>
          <t>Derived / modeling assumption</t>
        </is>
      </c>
    </row>
    <row r="15" ht="14.25" customHeight="1" s="67">
      <c r="A15" s="129" t="inlineStr">
        <is>
          <t>WACC</t>
        </is>
      </c>
      <c r="B15" s="130">
        <f>Inputs!B39</f>
        <v/>
      </c>
      <c r="C15" s="129" t="inlineStr">
        <is>
          <t>CAPM equity cost plus small after-tax debt component.</t>
        </is>
      </c>
      <c r="D15" s="129" t="inlineStr">
        <is>
          <t>Derived</t>
        </is>
      </c>
    </row>
    <row r="16" ht="28.5" customHeight="1" s="67">
      <c r="A16" s="129" t="inlineStr">
        <is>
          <t>FY27 revenue — Base</t>
        </is>
      </c>
      <c r="B16" s="129" t="n">
        <v>90000</v>
      </c>
      <c r="C16" s="129" t="inlineStr">
        <is>
          <t>Q1 FY27 actual revenue was ₹20,211 Cr; model uses ₹90,000 Cr FY27 total to reflect continued growth while remaining below some street estimates.</t>
        </is>
      </c>
      <c r="D16" s="129" t="inlineStr">
        <is>
          <t>Eternal Q1 FY27 results + model judgment</t>
        </is>
      </c>
    </row>
    <row r="17" ht="28.5" customHeight="1" s="67">
      <c r="A17" s="129" t="inlineStr">
        <is>
          <t>FY27 revenue — Bull</t>
        </is>
      </c>
      <c r="B17" s="129" t="n">
        <v>100000</v>
      </c>
      <c r="C17" s="129" t="inlineStr">
        <is>
          <t>Assumes stronger quick-commerce scale and food-delivery growth.</t>
        </is>
      </c>
      <c r="D17" s="129" t="inlineStr">
        <is>
          <t>Scenario assumption informed by Q1 FY27 trends</t>
        </is>
      </c>
    </row>
    <row r="18" ht="14.25" customHeight="1" s="67">
      <c r="A18" s="129" t="inlineStr">
        <is>
          <t>FY27 revenue — Bear</t>
        </is>
      </c>
      <c r="B18" s="129" t="n">
        <v>82000</v>
      </c>
      <c r="C18" s="129" t="inlineStr">
        <is>
          <t>Assumes material deceleration after Q1 while still above FY26.</t>
        </is>
      </c>
      <c r="D18" s="129" t="inlineStr">
        <is>
          <t>Scenario assumption</t>
        </is>
      </c>
    </row>
    <row r="19" ht="28.5" customHeight="1" s="67">
      <c r="A19" s="129" t="inlineStr">
        <is>
          <t>Terminal growth — Bear/Base/Bull</t>
        </is>
      </c>
      <c r="B19" s="129" t="inlineStr">
        <is>
          <t>4.5% / 5.0% / 5.5%</t>
        </is>
      </c>
      <c r="C19" s="129" t="inlineStr">
        <is>
          <t>Keeps perpetual growth below/around long-run nominal growth rather than using 6.5% indefinitely.</t>
        </is>
      </c>
      <c r="D19" s="129" t="inlineStr">
        <is>
          <t>Modeling judgment</t>
        </is>
      </c>
    </row>
    <row r="20" ht="28.5" customHeight="1" s="67">
      <c r="A20" s="129" t="inlineStr">
        <is>
          <t>Exit EV/EBITDA — Bear/Base/Bull</t>
        </is>
      </c>
      <c r="B20" s="129" t="inlineStr">
        <is>
          <t>12x / 14x / 16x</t>
        </is>
      </c>
      <c r="C20" s="129" t="inlineStr">
        <is>
          <t>Cross-check only; multiples represent scenario ranges and should be compared with peer trading data.</t>
        </is>
      </c>
      <c r="D20" s="129" t="inlineStr">
        <is>
          <t>Modeling judgment</t>
        </is>
      </c>
    </row>
    <row r="21" ht="28.5" customHeight="1" s="67">
      <c r="A21" s="129" t="inlineStr">
        <is>
          <t>NWC % revenue</t>
        </is>
      </c>
      <c r="B21" s="129" t="n">
        <v>0.02</v>
      </c>
      <c r="C21" s="129" t="inlineStr">
        <is>
          <t>Raised from 1% because inventory became much more important after the inventory-led quick-commerce shift.</t>
        </is>
      </c>
      <c r="D21" s="129" t="inlineStr">
        <is>
          <t>Eternal FY26 balance sheet + modeling judgment</t>
        </is>
      </c>
    </row>
    <row r="22" ht="14.25" customHeight="1" s="67">
      <c r="A22" s="129" t="inlineStr">
        <is>
          <t>Capex % revenue</t>
        </is>
      </c>
      <c r="B22" s="129" t="inlineStr">
        <is>
          <t>4.5%→3.0% Base</t>
        </is>
      </c>
      <c r="C22" s="129" t="inlineStr">
        <is>
          <t>Declines as dark-store rollout matures; Bull remains higher early, Bear lower.</t>
        </is>
      </c>
      <c r="D22" s="129" t="inlineStr">
        <is>
          <t>Scenario modeling assumption</t>
        </is>
      </c>
    </row>
    <row r="23" ht="28.5" customHeight="1" s="67">
      <c r="A23" s="129" t="inlineStr">
        <is>
          <t>D&amp;A % opening net block</t>
        </is>
      </c>
      <c r="B23" s="129" t="n">
        <v>0.15</v>
      </c>
      <c r="C23" s="129" t="inlineStr">
        <is>
          <t>Simple depreciation schedule; intentionally conservative and transparent rather than pretending to forecast asset classes separately.</t>
        </is>
      </c>
      <c r="D23" s="129" t="inlineStr">
        <is>
          <t>Modeling assumption</t>
        </is>
      </c>
    </row>
    <row r="24" ht="27.75" customHeight="1" s="67">
      <c r="A24" s="129" t="inlineStr">
        <is>
          <t>FY28E growth ()</t>
        </is>
      </c>
      <c r="B24" s="129" t="inlineStr">
        <is>
          <t>30% / 35% / 24% (Base/Bull/Bear)</t>
        </is>
      </c>
      <c r="C24" s="129" t="inlineStr">
        <is>
          <t>Cell was blank , freezing FY28 revenue at the FY27 level in all scenarios.</t>
        </is>
      </c>
      <c r="D24" s="129" t="inlineStr">
        <is>
          <t>Modeling judgment</t>
        </is>
      </c>
    </row>
    <row r="25" ht="27.75" customHeight="1" s="67">
      <c r="A25" s="129" t="inlineStr">
        <is>
          <t>Opening net block</t>
        </is>
      </c>
      <c r="B25" s="129" t="inlineStr">
        <is>
          <t>₹7,074 Cr</t>
        </is>
      </c>
      <c r="C25" s="129" t="inlineStr">
        <is>
          <t>PP&amp;E ₹2,033 Cr + CWIP ₹136 Cr + intangibles ₹611 Cr + right-of-use assets ₹4,294 Cr. Excludes ₹5,737 Cr goodwill, which Ind AS does not depreciate.</t>
        </is>
      </c>
      <c r="D25" s="129" t="inlineStr">
        <is>
          <t>Eternal FY26 audited balance sheet</t>
        </is>
      </c>
    </row>
    <row r="26" ht="68.25" customHeight="1" s="67">
      <c r="A26" s="129" t="inlineStr">
        <is>
          <t>Calibration note (moved from Output)</t>
        </is>
      </c>
      <c r="B26" s="129" t="inlineStr">
        <is>
          <t>Valuation-date calibration: FY27 revenue starts from Q1 FY27 actuals and scenario assumptions; FY26 is historical anchor.</t>
        </is>
      </c>
      <c r="C26" s="129" t="n"/>
      <c r="D26" s="129" t="n"/>
    </row>
    <row r="27" ht="68.25" customHeight="1" s="67">
      <c r="A27" s="129" t="inlineStr">
        <is>
          <t>Key data update (moved from Output)</t>
        </is>
      </c>
      <c r="B27" s="129" t="inlineStr">
        <is>
          <t>Key data update: share price ₹335.50, shares ~920 Cr, liquid assets ₹16,356 Cr, net cash ₹11,764 Cr, Rf 7.111%, ERP 7.08%, beta 1.36.</t>
        </is>
      </c>
      <c r="C27" s="129" t="n"/>
      <c r="D27" s="129" t="n"/>
    </row>
    <row r="28" ht="27.75" customHeight="1" s="67">
      <c r="A28" s="129" t="inlineStr">
        <is>
          <t>Limitation: timing</t>
        </is>
      </c>
      <c r="B28" s="129" t="inlineStr">
        <is>
          <t>Full-year discounting from 31-Mar-2026 cash flows</t>
        </is>
      </c>
      <c r="C28" s="129" t="inlineStr">
        <is>
          <t>Valuation date is 24-Sep-2026 but FY27E is discounted as a full year and net cash is as of FY26A; no stub-period adjustment.</t>
        </is>
      </c>
      <c r="D28" s="129" t="inlineStr">
        <is>
          <t>Simplification</t>
        </is>
      </c>
    </row>
    <row r="29" ht="27.75" customHeight="1" s="67">
      <c r="A29" s="129" t="inlineStr">
        <is>
          <t>Limitation: terminal year</t>
        </is>
      </c>
      <c r="B29" s="129" t="inlineStr">
        <is>
          <t>FY33E reinvestment reflects 12% growth</t>
        </is>
      </c>
      <c r="C29" s="129" t="inlineStr">
        <is>
          <t>Gordon TV grows FY33E FCFF at 4.5–5.5%; reinvestment not normalized to terminal growth, which is conservative.</t>
        </is>
      </c>
      <c r="D29" s="129" t="inlineStr">
        <is>
          <t>Simplification</t>
        </is>
      </c>
    </row>
    <row r="30" ht="27.75" customHeight="1" s="67">
      <c r="A30" s="129" t="inlineStr">
        <is>
          <t>Limitation: beta</t>
        </is>
      </c>
      <c r="B30" s="129" t="inlineStr">
        <is>
          <t>1.36 (1-year observed)</t>
        </is>
      </c>
      <c r="C30" s="129" t="inlineStr">
        <is>
          <t>Short, noisy history; a peer-based or regression beta would be more defensible. Cost of equity ≈ 16.7% drives the low Gordon value.</t>
        </is>
      </c>
      <c r="D30" s="129" t="inlineStr">
        <is>
          <t>Alloqo Sep-2026 market data</t>
        </is>
      </c>
    </row>
    <row r="31" ht="27.75" customHeight="1" s="67">
      <c r="A31" s="129" t="inlineStr">
        <is>
          <t>Limitation: marketing opex</t>
        </is>
      </c>
      <c r="B31" s="129" t="inlineStr">
        <is>
          <t>Base rises 11.4% → 18.5% of revenue</t>
        </is>
      </c>
      <c r="C31" s="129" t="inlineStr">
        <is>
          <t>Caps FY33E EBITDA margin at 13%; deliberate reinvestment assumption that should be justified.</t>
        </is>
      </c>
      <c r="D31" s="129" t="inlineStr">
        <is>
          <t>Modeling judgment</t>
        </is>
      </c>
    </row>
    <row r="32" ht="27.75" customHeight="1" s="67">
      <c r="A32" s="129" t="inlineStr">
        <is>
          <t>Data limitations &amp; verification notes</t>
        </is>
      </c>
      <c r="B32" s="129" t="inlineStr">
        <is>
          <t>Q1 FY27 revenue ₹20,211 Cr; FY26 financials</t>
        </is>
      </c>
      <c r="C32" s="129" t="inlineStr">
        <is>
          <t>Cross-check against Eternal’s latest official filings before using the model for investment decisions.</t>
        </is>
      </c>
      <c r="D32" s="129" t="inlineStr">
        <is>
          <t>Eternal investor relations</t>
        </is>
      </c>
    </row>
    <row r="33"/>
    <row r="34" ht="14.25" customHeight="1" s="67">
      <c r="A34" s="66" t="inlineStr">
        <is>
          <t>WACC defense</t>
        </is>
      </c>
      <c r="B34" s="66" t="inlineStr">
        <is>
          <t>16.6% cost of capital</t>
        </is>
      </c>
      <c r="C34" s="66" t="inlineStr">
        <is>
          <t>High-growth quick-commerce business with elevated execution and competitive risk; higher cost of equity intentionally maintained.</t>
        </is>
      </c>
      <c r="D34" s="66" t="inlineStr">
        <is>
          <t>Model judgment</t>
        </is>
      </c>
    </row>
    <row r="35" ht="14.25" customHeight="1" s="67">
      <c r="A35" s="129" t="inlineStr">
        <is>
          <t>Goodwill (excluded from D&amp;A base)</t>
        </is>
      </c>
      <c r="B35" s="129" t="inlineStr">
        <is>
          <t>₹5,737 Cr</t>
        </is>
      </c>
      <c r="C35" s="129" t="inlineStr">
        <is>
          <t>Not depreciated/amortized under Ind AS; tested annually for impairment. Held separately in Inputs B26 as a memo line.</t>
        </is>
      </c>
      <c r="D35" s="129" t="inlineStr">
        <is>
          <t>Eternal FY26 audited balance sheet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M365 Copilot</dc:creator>
  <dc:language xmlns:dc="http://purl.org/dc/elements/1.1/">en-US</dc:language>
  <dcterms:created xmlns:dcterms="http://purl.org/dc/terms/" xmlns:xsi="http://www.w3.org/2001/XMLSchema-instance" xsi:type="dcterms:W3CDTF">2026-09-28T13:35:22Z</dcterms:created>
  <dcterms:modified xmlns:dcterms="http://purl.org/dc/terms/" xmlns:xsi="http://www.w3.org/2001/XMLSchema-instance" xsi:type="dcterms:W3CDTF">2026-09-29T13:50:09Z</dcterms:modified>
  <cp:revision>5</cp:revision>
</cp:coreProperties>
</file>